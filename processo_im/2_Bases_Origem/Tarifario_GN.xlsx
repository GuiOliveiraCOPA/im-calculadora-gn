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aenergiasa.sharepoint.com/sites/IM/Shared Documents/General/GN/Bases_Painel_BI/"/>
    </mc:Choice>
  </mc:AlternateContent>
  <xr:revisionPtr revIDLastSave="6246" documentId="8_{FFC78A89-46B5-4493-A541-88988ED00D00}" xr6:coauthVersionLast="47" xr6:coauthVersionMax="47" xr10:uidLastSave="{4527543D-569B-438F-9C83-34A7F08CBE9D}"/>
  <bookViews>
    <workbookView xWindow="-108" yWindow="-108" windowWidth="23256" windowHeight="12456" tabRatio="647" xr2:uid="{8A8C1855-8AD3-4BB6-9439-49720DDCD2B7}"/>
  </bookViews>
  <sheets>
    <sheet name="Tarifario" sheetId="1" r:id="rId1"/>
    <sheet name="Calculo impostos" sheetId="11" r:id="rId2"/>
    <sheet name="uf sem GN" sheetId="10" r:id="rId3"/>
    <sheet name="ICMS" sheetId="3" r:id="rId4"/>
    <sheet name="Observações" sheetId="2" r:id="rId5"/>
    <sheet name="conversa_com_o_tributario" sheetId="7" r:id="rId6"/>
    <sheet name="Cliente_teste_metrica" sheetId="9" r:id="rId7"/>
  </sheets>
  <definedNames>
    <definedName name="_xlnm._FilterDatabase" localSheetId="3" hidden="1">ICMS!$B$2:$E$29</definedName>
    <definedName name="_xlnm._FilterDatabase" localSheetId="0" hidden="1">Tarifario!$A$1:$S$460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N444" i="1"/>
  <c r="N313" i="1"/>
  <c r="H314" i="1"/>
  <c r="H313" i="1"/>
  <c r="N302" i="1"/>
  <c r="H302" i="1"/>
  <c r="N295" i="1"/>
  <c r="H295" i="1"/>
  <c r="N294" i="1"/>
  <c r="H294" i="1"/>
  <c r="N293" i="1"/>
  <c r="H293" i="1"/>
  <c r="N292" i="1"/>
  <c r="H292" i="1"/>
  <c r="N291" i="1"/>
  <c r="H291" i="1"/>
  <c r="N290" i="1"/>
  <c r="H290" i="1"/>
  <c r="N289" i="1"/>
  <c r="N286" i="1"/>
  <c r="N287" i="1"/>
  <c r="N288" i="1"/>
  <c r="H288" i="1"/>
  <c r="H287" i="1"/>
  <c r="H286" i="1"/>
  <c r="C5" i="11"/>
  <c r="N40" i="1"/>
  <c r="H41" i="1"/>
  <c r="H40" i="1"/>
  <c r="N32" i="1"/>
  <c r="H32" i="1"/>
  <c r="N27" i="1"/>
  <c r="N26" i="1"/>
  <c r="H28" i="1"/>
  <c r="H27" i="1"/>
  <c r="C3" i="11"/>
  <c r="N205" i="1"/>
  <c r="N204" i="1"/>
  <c r="H206" i="1"/>
  <c r="H209" i="1"/>
  <c r="H205" i="1"/>
  <c r="D3" i="11" l="1"/>
  <c r="C4" i="11"/>
  <c r="N89" i="1"/>
  <c r="H89" i="1"/>
  <c r="N88" i="1"/>
  <c r="H88" i="1"/>
  <c r="N87" i="1"/>
  <c r="H87" i="1"/>
  <c r="N86" i="1"/>
  <c r="N65" i="1"/>
  <c r="H65" i="1"/>
  <c r="N64" i="1"/>
  <c r="H64" i="1"/>
  <c r="N63" i="1"/>
  <c r="H63" i="1"/>
  <c r="N62" i="1"/>
  <c r="O3" i="1"/>
  <c r="H171" i="1"/>
  <c r="H170" i="1"/>
  <c r="H169" i="1"/>
  <c r="H168" i="1"/>
  <c r="E3" i="3"/>
  <c r="E4" i="3"/>
  <c r="E5" i="3"/>
  <c r="E6" i="3"/>
  <c r="E7" i="3"/>
  <c r="E8" i="3"/>
  <c r="E9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3" i="3"/>
  <c r="A13" i="10"/>
  <c r="H458" i="1"/>
  <c r="H457" i="1"/>
  <c r="H456" i="1"/>
  <c r="H455" i="1"/>
  <c r="H453" i="1"/>
  <c r="H452" i="1"/>
  <c r="H451" i="1"/>
  <c r="H450" i="1"/>
  <c r="H449" i="1"/>
  <c r="H448" i="1"/>
  <c r="H447" i="1"/>
  <c r="H446" i="1"/>
  <c r="H445" i="1"/>
  <c r="H443" i="1"/>
  <c r="H442" i="1"/>
  <c r="H441" i="1"/>
  <c r="H440" i="1"/>
  <c r="H439" i="1"/>
  <c r="H438" i="1"/>
  <c r="H437" i="1"/>
  <c r="H436" i="1"/>
  <c r="H432" i="1"/>
  <c r="H431" i="1"/>
  <c r="H430" i="1"/>
  <c r="H429" i="1"/>
  <c r="H428" i="1"/>
  <c r="H426" i="1"/>
  <c r="H425" i="1"/>
  <c r="H424" i="1"/>
  <c r="H423" i="1"/>
  <c r="H422" i="1"/>
  <c r="H421" i="1"/>
  <c r="H420" i="1"/>
  <c r="H419" i="1"/>
  <c r="H418" i="1"/>
  <c r="H417" i="1"/>
  <c r="H416" i="1"/>
  <c r="H414" i="1"/>
  <c r="H413" i="1"/>
  <c r="H412" i="1"/>
  <c r="H411" i="1"/>
  <c r="H409" i="1"/>
  <c r="H408" i="1"/>
  <c r="H407" i="1"/>
  <c r="H406" i="1"/>
  <c r="H404" i="1"/>
  <c r="H403" i="1"/>
  <c r="H402" i="1"/>
  <c r="H401" i="1"/>
  <c r="H399" i="1"/>
  <c r="H397" i="1"/>
  <c r="H395" i="1"/>
  <c r="H394" i="1"/>
  <c r="H393" i="1"/>
  <c r="H392" i="1"/>
  <c r="H391" i="1"/>
  <c r="H390" i="1"/>
  <c r="H389" i="1"/>
  <c r="H388" i="1"/>
  <c r="H386" i="1"/>
  <c r="H385" i="1"/>
  <c r="H384" i="1"/>
  <c r="H383" i="1"/>
  <c r="H382" i="1"/>
  <c r="H381" i="1"/>
  <c r="H380" i="1"/>
  <c r="H379" i="1"/>
  <c r="H378" i="1"/>
  <c r="H377" i="1"/>
  <c r="H376" i="1"/>
  <c r="H374" i="1"/>
  <c r="H373" i="1"/>
  <c r="H372" i="1"/>
  <c r="H371" i="1"/>
  <c r="H370" i="1"/>
  <c r="H368" i="1"/>
  <c r="H367" i="1"/>
  <c r="H366" i="1"/>
  <c r="H365" i="1"/>
  <c r="H364" i="1"/>
  <c r="H362" i="1"/>
  <c r="H361" i="1"/>
  <c r="H360" i="1"/>
  <c r="H359" i="1"/>
  <c r="H358" i="1"/>
  <c r="H356" i="1"/>
  <c r="H355" i="1"/>
  <c r="H354" i="1"/>
  <c r="H353" i="1"/>
  <c r="H352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6" i="1"/>
  <c r="H335" i="1"/>
  <c r="H334" i="1"/>
  <c r="H333" i="1"/>
  <c r="H332" i="1"/>
  <c r="H331" i="1"/>
  <c r="H330" i="1"/>
  <c r="H329" i="1"/>
  <c r="H328" i="1"/>
  <c r="H327" i="1"/>
  <c r="H326" i="1"/>
  <c r="H324" i="1"/>
  <c r="H323" i="1"/>
  <c r="H322" i="1"/>
  <c r="H321" i="1"/>
  <c r="H319" i="1"/>
  <c r="H318" i="1"/>
  <c r="H317" i="1"/>
  <c r="H316" i="1"/>
  <c r="H312" i="1"/>
  <c r="H311" i="1"/>
  <c r="H310" i="1"/>
  <c r="H309" i="1"/>
  <c r="H308" i="1"/>
  <c r="H307" i="1"/>
  <c r="H306" i="1"/>
  <c r="H305" i="1"/>
  <c r="H304" i="1"/>
  <c r="H301" i="1"/>
  <c r="H300" i="1"/>
  <c r="H299" i="1"/>
  <c r="H298" i="1"/>
  <c r="H297" i="1"/>
  <c r="H285" i="1"/>
  <c r="H284" i="1"/>
  <c r="H283" i="1"/>
  <c r="H279" i="1"/>
  <c r="H278" i="1"/>
  <c r="H277" i="1"/>
  <c r="H276" i="1"/>
  <c r="H275" i="1"/>
  <c r="H274" i="1"/>
  <c r="H273" i="1"/>
  <c r="H272" i="1"/>
  <c r="H271" i="1"/>
  <c r="H269" i="1"/>
  <c r="H268" i="1"/>
  <c r="H267" i="1"/>
  <c r="H266" i="1"/>
  <c r="H265" i="1"/>
  <c r="H264" i="1"/>
  <c r="H263" i="1"/>
  <c r="H262" i="1"/>
  <c r="H261" i="1"/>
  <c r="H257" i="1"/>
  <c r="H256" i="1"/>
  <c r="H255" i="1"/>
  <c r="H253" i="1"/>
  <c r="H252" i="1"/>
  <c r="H251" i="1"/>
  <c r="H249" i="1"/>
  <c r="H248" i="1"/>
  <c r="H247" i="1"/>
  <c r="H246" i="1"/>
  <c r="H245" i="1"/>
  <c r="H244" i="1"/>
  <c r="H243" i="1"/>
  <c r="H242" i="1"/>
  <c r="H241" i="1"/>
  <c r="H240" i="1"/>
  <c r="H239" i="1"/>
  <c r="H237" i="1"/>
  <c r="H236" i="1"/>
  <c r="H235" i="1"/>
  <c r="H233" i="1"/>
  <c r="H232" i="1"/>
  <c r="H231" i="1"/>
  <c r="H229" i="1"/>
  <c r="H228" i="1"/>
  <c r="H227" i="1"/>
  <c r="H225" i="1"/>
  <c r="H224" i="1"/>
  <c r="H223" i="1"/>
  <c r="H221" i="1"/>
  <c r="H220" i="1"/>
  <c r="H219" i="1"/>
  <c r="H218" i="1"/>
  <c r="H217" i="1"/>
  <c r="H216" i="1"/>
  <c r="H215" i="1"/>
  <c r="H214" i="1"/>
  <c r="H213" i="1"/>
  <c r="H212" i="1"/>
  <c r="H211" i="1"/>
  <c r="H208" i="1"/>
  <c r="H203" i="1"/>
  <c r="H202" i="1"/>
  <c r="H201" i="1"/>
  <c r="H200" i="1"/>
  <c r="H199" i="1"/>
  <c r="H198" i="1"/>
  <c r="H197" i="1"/>
  <c r="H196" i="1"/>
  <c r="H195" i="1"/>
  <c r="H194" i="1"/>
  <c r="H193" i="1"/>
  <c r="H191" i="1"/>
  <c r="H190" i="1"/>
  <c r="H189" i="1"/>
  <c r="H185" i="1"/>
  <c r="H184" i="1"/>
  <c r="H183" i="1"/>
  <c r="H182" i="1"/>
  <c r="H181" i="1"/>
  <c r="H180" i="1"/>
  <c r="H179" i="1"/>
  <c r="H178" i="1"/>
  <c r="H176" i="1"/>
  <c r="H175" i="1"/>
  <c r="H174" i="1"/>
  <c r="H172" i="1"/>
  <c r="H166" i="1"/>
  <c r="H165" i="1"/>
  <c r="H164" i="1"/>
  <c r="H163" i="1"/>
  <c r="H162" i="1"/>
  <c r="H161" i="1"/>
  <c r="H160" i="1"/>
  <c r="H158" i="1"/>
  <c r="H157" i="1"/>
  <c r="H156" i="1"/>
  <c r="H154" i="1"/>
  <c r="H153" i="1"/>
  <c r="H152" i="1"/>
  <c r="H151" i="1"/>
  <c r="H150" i="1"/>
  <c r="H148" i="1"/>
  <c r="H147" i="1"/>
  <c r="H146" i="1"/>
  <c r="H145" i="1"/>
  <c r="H144" i="1"/>
  <c r="H143" i="1"/>
  <c r="H142" i="1"/>
  <c r="H141" i="1"/>
  <c r="H140" i="1"/>
  <c r="H138" i="1"/>
  <c r="H137" i="1"/>
  <c r="H136" i="1"/>
  <c r="H135" i="1"/>
  <c r="H134" i="1"/>
  <c r="H133" i="1"/>
  <c r="H132" i="1"/>
  <c r="H131" i="1"/>
  <c r="H129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4" i="1"/>
  <c r="H113" i="1"/>
  <c r="H112" i="1"/>
  <c r="H111" i="1"/>
  <c r="H109" i="1"/>
  <c r="H108" i="1"/>
  <c r="H107" i="1"/>
  <c r="H105" i="1"/>
  <c r="H104" i="1"/>
  <c r="H103" i="1"/>
  <c r="H102" i="1"/>
  <c r="H101" i="1"/>
  <c r="H100" i="1"/>
  <c r="H99" i="1"/>
  <c r="H98" i="1"/>
  <c r="H97" i="1"/>
  <c r="H95" i="1"/>
  <c r="H94" i="1"/>
  <c r="H93" i="1"/>
  <c r="H92" i="1"/>
  <c r="H91" i="1"/>
  <c r="H85" i="1"/>
  <c r="H84" i="1"/>
  <c r="H83" i="1"/>
  <c r="H81" i="1"/>
  <c r="H80" i="1"/>
  <c r="H79" i="1"/>
  <c r="H78" i="1"/>
  <c r="H77" i="1"/>
  <c r="H76" i="1"/>
  <c r="H75" i="1"/>
  <c r="H74" i="1"/>
  <c r="H73" i="1"/>
  <c r="H71" i="1"/>
  <c r="H70" i="1"/>
  <c r="H69" i="1"/>
  <c r="H68" i="1"/>
  <c r="H67" i="1"/>
  <c r="H61" i="1"/>
  <c r="H60" i="1"/>
  <c r="H59" i="1"/>
  <c r="H57" i="1"/>
  <c r="H56" i="1"/>
  <c r="H55" i="1"/>
  <c r="H54" i="1"/>
  <c r="H53" i="1"/>
  <c r="H51" i="1"/>
  <c r="H50" i="1"/>
  <c r="H49" i="1"/>
  <c r="H48" i="1"/>
  <c r="H46" i="1"/>
  <c r="H45" i="1"/>
  <c r="H43" i="1"/>
  <c r="H39" i="1"/>
  <c r="H38" i="1"/>
  <c r="H37" i="1"/>
  <c r="H36" i="1"/>
  <c r="H35" i="1"/>
  <c r="H33" i="1"/>
  <c r="H31" i="1"/>
  <c r="H30" i="1"/>
  <c r="H25" i="1"/>
  <c r="H24" i="1"/>
  <c r="H23" i="1"/>
  <c r="H22" i="1"/>
  <c r="H20" i="1"/>
  <c r="H19" i="1"/>
  <c r="H18" i="1"/>
  <c r="H17" i="1"/>
  <c r="H15" i="1"/>
  <c r="H14" i="1"/>
  <c r="H13" i="1"/>
  <c r="H12" i="1"/>
  <c r="H11" i="1"/>
  <c r="H9" i="1"/>
  <c r="H8" i="1"/>
  <c r="H7" i="1"/>
  <c r="H6" i="1"/>
  <c r="H4" i="1"/>
  <c r="H3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8" i="1"/>
  <c r="N29" i="1"/>
  <c r="N30" i="1"/>
  <c r="N31" i="1"/>
  <c r="N33" i="1"/>
  <c r="N34" i="1"/>
  <c r="N35" i="1"/>
  <c r="N36" i="1"/>
  <c r="N37" i="1"/>
  <c r="N38" i="1"/>
  <c r="N39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96" i="1"/>
  <c r="N297" i="1"/>
  <c r="N298" i="1"/>
  <c r="N299" i="1"/>
  <c r="N300" i="1"/>
  <c r="N301" i="1"/>
  <c r="N303" i="1"/>
  <c r="N304" i="1"/>
  <c r="N305" i="1"/>
  <c r="N306" i="1"/>
  <c r="N307" i="1"/>
  <c r="N308" i="1"/>
  <c r="N309" i="1"/>
  <c r="N310" i="1"/>
  <c r="N311" i="1"/>
  <c r="N312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D4" i="11" l="1"/>
  <c r="H7" i="9"/>
  <c r="E4" i="9"/>
  <c r="H3" i="9"/>
  <c r="H4" i="9" s="1"/>
  <c r="F3" i="9"/>
  <c r="G4" i="9" s="1"/>
  <c r="E11" i="7" l="1"/>
  <c r="N2" i="1"/>
</calcChain>
</file>

<file path=xl/sharedStrings.xml><?xml version="1.0" encoding="utf-8"?>
<sst xmlns="http://schemas.openxmlformats.org/spreadsheetml/2006/main" count="4270" uniqueCount="185">
  <si>
    <t>Segmento Copa</t>
  </si>
  <si>
    <t>Classe</t>
  </si>
  <si>
    <t>UF</t>
  </si>
  <si>
    <t>Concessionária</t>
  </si>
  <si>
    <t>Segmento</t>
  </si>
  <si>
    <t>Faixa Mín (m3)</t>
  </si>
  <si>
    <t>Faixa Máx (m3)</t>
  </si>
  <si>
    <t>dt_delib</t>
  </si>
  <si>
    <t>CONDOMINIOS</t>
  </si>
  <si>
    <t>SP (Comgás)</t>
  </si>
  <si>
    <t>SP</t>
  </si>
  <si>
    <t>COMGÁS</t>
  </si>
  <si>
    <t>Residencial - Medição Coletiva</t>
  </si>
  <si>
    <t>COMERCIAL E SERVIÇOS</t>
  </si>
  <si>
    <t>Comercial</t>
  </si>
  <si>
    <t>INDUSTRIAL</t>
  </si>
  <si>
    <t>Industrial e Interruptível</t>
  </si>
  <si>
    <t>Residencial</t>
  </si>
  <si>
    <t>REVENDA</t>
  </si>
  <si>
    <t>SP (Naturgy)</t>
  </si>
  <si>
    <t>NATURGY</t>
  </si>
  <si>
    <t>Industrial</t>
  </si>
  <si>
    <t>Naturgy SP</t>
  </si>
  <si>
    <t>Faixa media Condominio estimada VQ</t>
  </si>
  <si>
    <t>SP (Necta)</t>
  </si>
  <si>
    <t>NECTA</t>
  </si>
  <si>
    <t>RJ (Capital + Reg. Metrop.)</t>
  </si>
  <si>
    <t>RJ</t>
  </si>
  <si>
    <t>NATURGY (CEG)</t>
  </si>
  <si>
    <t>Comercial e Outros</t>
  </si>
  <si>
    <t>RJ (Interior)</t>
  </si>
  <si>
    <t>NATURGY (CEG-RIO)</t>
  </si>
  <si>
    <t>Residencial - Medição Individual</t>
  </si>
  <si>
    <t>ES</t>
  </si>
  <si>
    <t>ES_GAS</t>
  </si>
  <si>
    <t>Residencial - Coletiva</t>
  </si>
  <si>
    <t>MG</t>
  </si>
  <si>
    <t>GAS_MIG</t>
  </si>
  <si>
    <t>Comercial e Industrial de Menor Consumo </t>
  </si>
  <si>
    <t>Residencial Individual</t>
  </si>
  <si>
    <t>Residencial Coletivo</t>
  </si>
  <si>
    <t>PR</t>
  </si>
  <si>
    <t>COMPAGAS</t>
  </si>
  <si>
    <t>Residencial – Medição coletiva</t>
  </si>
  <si>
    <t>Residencial – Medição individual</t>
  </si>
  <si>
    <t>SC</t>
  </si>
  <si>
    <t>sem impostos</t>
  </si>
  <si>
    <t>SC_GAS</t>
  </si>
  <si>
    <t>RS</t>
  </si>
  <si>
    <t>SUL_GAS</t>
  </si>
  <si>
    <t>Residencial – Faturamento Coletivo</t>
  </si>
  <si>
    <t>Industrial Firme</t>
  </si>
  <si>
    <t>AC</t>
  </si>
  <si>
    <t>AP</t>
  </si>
  <si>
    <t>AM</t>
  </si>
  <si>
    <t>PA</t>
  </si>
  <si>
    <t>RO</t>
  </si>
  <si>
    <t>RR</t>
  </si>
  <si>
    <t>TO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</si>
  <si>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</si>
  <si>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</si>
  <si>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</si>
  <si>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</si>
  <si>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</si>
  <si>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</si>
  <si>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</si>
  <si>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</si>
  <si>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</si>
  <si>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DF</t>
  </si>
  <si>
    <t>GO</t>
  </si>
  <si>
    <t>MT</t>
  </si>
  <si>
    <t>MS</t>
  </si>
  <si>
    <t>ICMS</t>
  </si>
  <si>
    <t>Regiao</t>
  </si>
  <si>
    <t>S</t>
  </si>
  <si>
    <t>CO</t>
  </si>
  <si>
    <t>Residencial coletivo</t>
  </si>
  <si>
    <t>MS_GAS</t>
  </si>
  <si>
    <t>com pis/cofins e sem icms</t>
  </si>
  <si>
    <t>Preço da Concessionaria é:</t>
  </si>
  <si>
    <t>com pis/cofins/icms</t>
  </si>
  <si>
    <t>Tarifa (R$/m³)</t>
  </si>
  <si>
    <t>Termo Fixo (R$)</t>
  </si>
  <si>
    <t>Residencial individual</t>
  </si>
  <si>
    <t>PIS/Cofins</t>
  </si>
  <si>
    <t>industria pode creditar 1,47 a cada kg de glp</t>
  </si>
  <si>
    <t>Industria pode creditar 9,25% de PIS/COFINS sobre o faturado da nota</t>
  </si>
  <si>
    <t>Nota</t>
  </si>
  <si>
    <t>Lucro Real</t>
  </si>
  <si>
    <t>Simples não</t>
  </si>
  <si>
    <t>Tem haver com a aplicação</t>
  </si>
  <si>
    <t>Uso no processo industrial, pode creditar creditos GN e GLP</t>
  </si>
  <si>
    <t>exceto o Industrial não credita</t>
  </si>
  <si>
    <t>Regime de trbutação</t>
  </si>
  <si>
    <t>Uso do GLP do cliente</t>
  </si>
  <si>
    <t>pf não credita</t>
  </si>
  <si>
    <t>pj com inscricão estatual pode creditar</t>
  </si>
  <si>
    <t>60kg glp</t>
  </si>
  <si>
    <t>valor unit</t>
  </si>
  <si>
    <t>em 01/01/2027 morre pis/cofins</t>
  </si>
  <si>
    <t>Valor total</t>
  </si>
  <si>
    <t>icms 2029 gradativo</t>
  </si>
  <si>
    <t>Cliente_teste</t>
  </si>
  <si>
    <t>kg glp</t>
  </si>
  <si>
    <t>preço por kg glp</t>
  </si>
  <si>
    <t>m3 GN</t>
  </si>
  <si>
    <t>preço por m3 GN</t>
  </si>
  <si>
    <t>preço equivalente gn kg glp</t>
  </si>
  <si>
    <t>fatura</t>
  </si>
  <si>
    <t>Industrial/Comerc</t>
  </si>
  <si>
    <t>MT_GAS</t>
  </si>
  <si>
    <t>Nao</t>
  </si>
  <si>
    <t>Comercial e Industrial baixo consumo </t>
  </si>
  <si>
    <t>Segmento Residencial - Subsegmento Combustível</t>
  </si>
  <si>
    <t>Segmento Comercial - Subsegmento Combustível</t>
  </si>
  <si>
    <t>Segmento Industrial - Subsegmento Combustível</t>
  </si>
  <si>
    <t>BAHIA_GAS</t>
  </si>
  <si>
    <t>CI_GAS</t>
  </si>
  <si>
    <t>AL_GAS</t>
  </si>
  <si>
    <t>CE_GAS</t>
  </si>
  <si>
    <t>Industriais</t>
  </si>
  <si>
    <t>Residenciais</t>
  </si>
  <si>
    <t>Comerciais e de Serviços</t>
  </si>
  <si>
    <t>Semana para mês (*4,345)</t>
  </si>
  <si>
    <t>PB_GAS</t>
  </si>
  <si>
    <t>COPERGAS</t>
  </si>
  <si>
    <t>Unidades residenciais</t>
  </si>
  <si>
    <t>UNIDADES INDUSTRIAIS E COMERCIAIS – CONSUMO CONVENCIONAL (ABAIXO DE 500M³/DIA)</t>
  </si>
  <si>
    <t>UNIDADES INDUSTRIAIS E COMERCIAIS – GRANDES USUÁRIOS (A PARTIR DE 500M³/DIA)</t>
  </si>
  <si>
    <t>SERGIPE_GAS</t>
  </si>
  <si>
    <t>Tem GN?</t>
  </si>
  <si>
    <t>tem GN</t>
  </si>
  <si>
    <t>N</t>
  </si>
  <si>
    <t>NE</t>
  </si>
  <si>
    <t>Algumas tarifas estao publicadas por dia ou semana</t>
  </si>
  <si>
    <t>Há estados com incentivos fiscais</t>
  </si>
  <si>
    <t>Ordem</t>
  </si>
  <si>
    <t>Tabela</t>
  </si>
  <si>
    <t>Tarifa em cascata?</t>
  </si>
  <si>
    <t>Não</t>
  </si>
  <si>
    <t>Sim</t>
  </si>
  <si>
    <t>https://www.comgas.com.br/sobre-sua-conta/tarifas</t>
  </si>
  <si>
    <t>Fonte</t>
  </si>
  <si>
    <t>https://www.naturgy.com.br/atendimento/tarifas/tarifa_sao_paulo</t>
  </si>
  <si>
    <t>https://www.arsesp.sp.gov.br/Paginas/Tarifas.aspx#gascanalizado</t>
  </si>
  <si>
    <t>https://www.naturgy.com.br/atendimento/tarifas/tarifa_rio_de_janeiro/</t>
  </si>
  <si>
    <t>https://arsp.es.gov.br/gas/tarifas/ESGas/tarifavigente</t>
  </si>
  <si>
    <t>https://gasmig.com.br/industrial/</t>
  </si>
  <si>
    <t>https://www.compagas.com.br/portal-de-tarifas/</t>
  </si>
  <si>
    <t>https://www.scgas.com.br/scgas/site/destaque/tarifas-e-simuladores</t>
  </si>
  <si>
    <t>https://msgas.com.br/</t>
  </si>
  <si>
    <t>https://mtgas.com.br/tarifas/</t>
  </si>
  <si>
    <t>https://www.cigas.com.br/tabela-tarifaria</t>
  </si>
  <si>
    <t>https://www.arsal.al.gov.br/tarifas-mercado-cativo1/category/362-estrutura-tarifaria</t>
  </si>
  <si>
    <t>https://www.bahiagas.com.br/noticias/item/507-nova-tabela-tarifaria</t>
  </si>
  <si>
    <t>https://www.cegas.com.br/gas-natural/tabela-de-tarifas-atual-3/</t>
  </si>
  <si>
    <t>https://pbgas.com.br/tarifas/</t>
  </si>
  <si>
    <t>https://copergas.com.br/informacoes/tarifas/</t>
  </si>
  <si>
    <t>https://potigas.com.br/sistema-tarifario/vigente</t>
  </si>
  <si>
    <t>https://www.sergipegas.com.br/tarifas</t>
  </si>
  <si>
    <t>Periodo de renovação</t>
  </si>
  <si>
    <t>março, junho, setembro, dezembro</t>
  </si>
  <si>
    <t>fevereiro, maio,agosto, novembro</t>
  </si>
  <si>
    <t>fevereiro, maio, agosto, novembro</t>
  </si>
  <si>
    <t>https://gasmig.com.br/residencial/</t>
  </si>
  <si>
    <t>https://gasmig.com.br/comercial/</t>
  </si>
  <si>
    <t>janeiro,junho,agosto,dezembro</t>
  </si>
  <si>
    <t>janeiro, julho</t>
  </si>
  <si>
    <t>https://www.sulgas.com.vc/residencial/</t>
  </si>
  <si>
    <t>https://www.sulgas.com.vc/industrial/</t>
  </si>
  <si>
    <t>https://www.sulgas.com.vc/comercial/</t>
  </si>
  <si>
    <t>POTIGAS</t>
  </si>
  <si>
    <t>fevereiro,agosto</t>
  </si>
  <si>
    <t>abril, maio, outubro, novembro</t>
  </si>
  <si>
    <t>novembro, janeiro</t>
  </si>
  <si>
    <t>mensalmente</t>
  </si>
  <si>
    <t>janeiro, fevereiro, maio, agosto, novembro.</t>
  </si>
  <si>
    <t>com pis/cofins de 9%</t>
  </si>
  <si>
    <t>sem pis/cofins de 9%</t>
  </si>
  <si>
    <t>com pis/cofins de 9% e icms de 15%</t>
  </si>
  <si>
    <t>Residencial Faturamento Individualizado</t>
  </si>
  <si>
    <t>sem pis/cofins de 9% e icms de 15%</t>
  </si>
  <si>
    <t>Concessionaria</t>
  </si>
  <si>
    <t>001/07/2026</t>
  </si>
  <si>
    <t>Industrial-TG1- Amarela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</si>
</sst>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00"/>
    <numFmt numFmtId="165" formatCode="#,##0.000_ ;[Red]\-#,##0.000\ "/>
    <numFmt numFmtId="166" formatCode="_-* #,##0.000_-;\-* #,##0.000_-;_-* &quot;-&quot;??_-;_-@_-"/>
    <numFmt numFmtId="167" formatCode="&quot;R$&quot;\ #,##0.00000;[Red]\-&quot;R$&quot;\ #,##0.00000"/>
    <numFmt numFmtId="168" formatCode="_-&quot;R$&quot;\ * #,##0.0000_-;\-&quot;R$&quot;\ * #,##0.00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4" fillId="0" borderId="0" xfId="1" applyNumberFormat="1" applyFont="1" applyAlignment="1">
      <alignment horizontal="center" vertical="center"/>
    </xf>
    <xf numFmtId="10" fontId="4" fillId="0" borderId="3" xfId="2" applyNumberFormat="1" applyFont="1" applyBorder="1" applyAlignment="1">
      <alignment horizontal="center" vertical="center"/>
    </xf>
    <xf numFmtId="9" fontId="4" fillId="0" borderId="0" xfId="2" applyFont="1"/>
    <xf numFmtId="0" fontId="3" fillId="0" borderId="0" xfId="0" applyFont="1"/>
    <xf numFmtId="44" fontId="0" fillId="0" borderId="0" xfId="0" applyNumberFormat="1"/>
    <xf numFmtId="0" fontId="0" fillId="0" borderId="0" xfId="0" applyAlignment="1">
      <alignment horizontal="right"/>
    </xf>
    <xf numFmtId="44" fontId="0" fillId="0" borderId="0" xfId="1" applyFont="1"/>
    <xf numFmtId="165" fontId="0" fillId="2" borderId="0" xfId="0" applyNumberFormat="1" applyFill="1" applyAlignment="1">
      <alignment horizontal="right" vertical="center"/>
    </xf>
    <xf numFmtId="44" fontId="1" fillId="2" borderId="0" xfId="1" applyFont="1" applyFill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8" fontId="2" fillId="2" borderId="1" xfId="0" applyNumberFormat="1" applyFont="1" applyFill="1" applyBorder="1" applyAlignment="1">
      <alignment horizontal="right" vertical="center" wrapText="1"/>
    </xf>
    <xf numFmtId="8" fontId="1" fillId="2" borderId="0" xfId="1" applyNumberFormat="1" applyFont="1" applyFill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44" fontId="3" fillId="2" borderId="0" xfId="1" applyFont="1" applyFill="1" applyAlignment="1">
      <alignment horizontal="center" vertical="center"/>
    </xf>
    <xf numFmtId="0" fontId="5" fillId="2" borderId="0" xfId="4" applyFill="1" applyAlignment="1">
      <alignment horizontal="left" vertical="center"/>
    </xf>
    <xf numFmtId="167" fontId="0" fillId="0" borderId="0" xfId="0" applyNumberFormat="1"/>
    <xf numFmtId="4" fontId="0" fillId="0" borderId="0" xfId="0" applyNumberFormat="1"/>
    <xf numFmtId="8" fontId="0" fillId="0" borderId="0" xfId="0" applyNumberFormat="1"/>
    <xf numFmtId="168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8" fontId="3" fillId="2" borderId="0" xfId="1" applyNumberFormat="1" applyFont="1" applyFill="1" applyAlignment="1">
      <alignment horizontal="right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/>
    </xf>
    <xf numFmtId="0" fontId="3" fillId="2" borderId="0" xfId="1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</cellXfs>
  <cellStyles count="5">
    <cellStyle name="Hiperlink" xfId="4" builtinId="8"/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D7628F-E6FD-4BF6-B0FA-163F96B53DCB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4e57dfc-ebf1-4d35-b5ca-98bf717481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sgas.com.br/" TargetMode="External"/><Relationship Id="rId21" Type="http://schemas.openxmlformats.org/officeDocument/2006/relationships/hyperlink" Target="https://www.compagas.com.br/portal-de-tarifas/" TargetMode="External"/><Relationship Id="rId42" Type="http://schemas.openxmlformats.org/officeDocument/2006/relationships/hyperlink" Target="https://www.naturgy.com.br/atendimento/tarifas/tarifa_rio_de_janeiro/" TargetMode="External"/><Relationship Id="rId47" Type="http://schemas.openxmlformats.org/officeDocument/2006/relationships/hyperlink" Target="https://www.naturgy.com.br/atendimento/tarifas/tarifa_rio_de_janeiro/" TargetMode="External"/><Relationship Id="rId63" Type="http://schemas.openxmlformats.org/officeDocument/2006/relationships/hyperlink" Target="https://potigas.com.br/sistema-tarifario/vigente" TargetMode="External"/><Relationship Id="rId68" Type="http://schemas.openxmlformats.org/officeDocument/2006/relationships/hyperlink" Target="https://www.arsal.al.gov.br/tarifas-mercado-cativo1/category/362-estrutura-tarifaria" TargetMode="External"/><Relationship Id="rId84" Type="http://schemas.openxmlformats.org/officeDocument/2006/relationships/hyperlink" Target="https://www.arsal.al.gov.br/tarifas-mercado-cativo1/category/362-estrutura-tarifaria" TargetMode="External"/><Relationship Id="rId89" Type="http://schemas.openxmlformats.org/officeDocument/2006/relationships/hyperlink" Target="https://www.arsal.al.gov.br/tarifas-mercado-cativo1/category/362-estrutura-tarifaria" TargetMode="External"/><Relationship Id="rId16" Type="http://schemas.openxmlformats.org/officeDocument/2006/relationships/hyperlink" Target="https://arsp.es.gov.br/gas/tarifas/ESGas/tarifavigente" TargetMode="External"/><Relationship Id="rId11" Type="http://schemas.openxmlformats.org/officeDocument/2006/relationships/hyperlink" Target="https://www.arsesp.sp.gov.br/Paginas/Tarifas.aspx" TargetMode="External"/><Relationship Id="rId32" Type="http://schemas.openxmlformats.org/officeDocument/2006/relationships/hyperlink" Target="https://www.arsal.al.gov.br/tarifas-mercado-cativo1/category/362-estrutura-tarifaria" TargetMode="External"/><Relationship Id="rId37" Type="http://schemas.openxmlformats.org/officeDocument/2006/relationships/hyperlink" Target="https://pbgas.com.br/tarifas/" TargetMode="External"/><Relationship Id="rId53" Type="http://schemas.openxmlformats.org/officeDocument/2006/relationships/hyperlink" Target="https://potigas.com.br/sistema-tarifario/vigente" TargetMode="External"/><Relationship Id="rId58" Type="http://schemas.openxmlformats.org/officeDocument/2006/relationships/hyperlink" Target="https://www.naturgy.com.br/atendimento/tarifas/tarifa_sao_paulo" TargetMode="External"/><Relationship Id="rId74" Type="http://schemas.openxmlformats.org/officeDocument/2006/relationships/hyperlink" Target="https://www.arsal.al.gov.br/tarifas-mercado-cativo1/category/362-estrutura-tarifaria" TargetMode="External"/><Relationship Id="rId79" Type="http://schemas.openxmlformats.org/officeDocument/2006/relationships/hyperlink" Target="https://www.arsal.al.gov.br/tarifas-mercado-cativo1/category/362-estrutura-tarifaria" TargetMode="External"/><Relationship Id="rId5" Type="http://schemas.openxmlformats.org/officeDocument/2006/relationships/hyperlink" Target="https://www.naturgy.com.br/atendimento/tarifas/tarifa_sao_paulo" TargetMode="External"/><Relationship Id="rId90" Type="http://schemas.openxmlformats.org/officeDocument/2006/relationships/hyperlink" Target="https://www.arsal.al.gov.br/tarifas-mercado-cativo1/category/362-estrutura-tarifaria" TargetMode="External"/><Relationship Id="rId95" Type="http://schemas.openxmlformats.org/officeDocument/2006/relationships/hyperlink" Target="https://www.sergipegas.com.br/tarifas" TargetMode="External"/><Relationship Id="rId22" Type="http://schemas.openxmlformats.org/officeDocument/2006/relationships/hyperlink" Target="https://www.compagas.com.br/portal-de-tarifas/" TargetMode="External"/><Relationship Id="rId27" Type="http://schemas.openxmlformats.org/officeDocument/2006/relationships/hyperlink" Target="https://mtgas.com.br/tarifas/" TargetMode="External"/><Relationship Id="rId43" Type="http://schemas.openxmlformats.org/officeDocument/2006/relationships/hyperlink" Target="https://www.naturgy.com.br/atendimento/tarifas/tarifa_rio_de_janeiro/" TargetMode="External"/><Relationship Id="rId48" Type="http://schemas.openxmlformats.org/officeDocument/2006/relationships/hyperlink" Target="https://www.naturgy.com.br/atendimento/tarifas/tarifa_rio_de_janeiro/" TargetMode="External"/><Relationship Id="rId64" Type="http://schemas.openxmlformats.org/officeDocument/2006/relationships/hyperlink" Target="https://potigas.com.br/sistema-tarifario/vigente" TargetMode="External"/><Relationship Id="rId69" Type="http://schemas.openxmlformats.org/officeDocument/2006/relationships/hyperlink" Target="https://www.arsal.al.gov.br/tarifas-mercado-cativo1/category/362-estrutura-tarifaria" TargetMode="External"/><Relationship Id="rId8" Type="http://schemas.openxmlformats.org/officeDocument/2006/relationships/hyperlink" Target="https://www.naturgy.com.br/atendimento/tarifas/tarifa_sao_paulo" TargetMode="External"/><Relationship Id="rId51" Type="http://schemas.openxmlformats.org/officeDocument/2006/relationships/hyperlink" Target="https://potigas.com.br/sistema-tarifario/vigente" TargetMode="External"/><Relationship Id="rId72" Type="http://schemas.openxmlformats.org/officeDocument/2006/relationships/hyperlink" Target="https://www.arsal.al.gov.br/tarifas-mercado-cativo1/category/362-estrutura-tarifaria" TargetMode="External"/><Relationship Id="rId80" Type="http://schemas.openxmlformats.org/officeDocument/2006/relationships/hyperlink" Target="https://www.arsal.al.gov.br/tarifas-mercado-cativo1/category/362-estrutura-tarifaria" TargetMode="External"/><Relationship Id="rId85" Type="http://schemas.openxmlformats.org/officeDocument/2006/relationships/hyperlink" Target="https://www.arsal.al.gov.br/tarifas-mercado-cativo1/category/362-estrutura-tarifaria" TargetMode="External"/><Relationship Id="rId93" Type="http://schemas.openxmlformats.org/officeDocument/2006/relationships/hyperlink" Target="https://www.arsal.al.gov.br/tarifas-mercado-cativo1/category/362-estrutura-tarifaria" TargetMode="External"/><Relationship Id="rId3" Type="http://schemas.openxmlformats.org/officeDocument/2006/relationships/hyperlink" Target="https://www.naturgy.com.br/atendimento/tarifas/tarifa_sao_paulo" TargetMode="External"/><Relationship Id="rId12" Type="http://schemas.openxmlformats.org/officeDocument/2006/relationships/hyperlink" Target="https://www.naturgy.com.br/atendimento/tarifas/tarifa_rio_de_janeiro/" TargetMode="External"/><Relationship Id="rId17" Type="http://schemas.openxmlformats.org/officeDocument/2006/relationships/hyperlink" Target="https://gasmig.com.br/industrial/" TargetMode="External"/><Relationship Id="rId25" Type="http://schemas.openxmlformats.org/officeDocument/2006/relationships/hyperlink" Target="https://msgas.com.br/" TargetMode="External"/><Relationship Id="rId33" Type="http://schemas.openxmlformats.org/officeDocument/2006/relationships/hyperlink" Target="https://www.bahiagas.com.br/noticias/item/507-nova-tabela-tarifaria" TargetMode="External"/><Relationship Id="rId38" Type="http://schemas.openxmlformats.org/officeDocument/2006/relationships/hyperlink" Target="https://pbgas.com.br/tarifas/" TargetMode="External"/><Relationship Id="rId46" Type="http://schemas.openxmlformats.org/officeDocument/2006/relationships/hyperlink" Target="https://www.naturgy.com.br/atendimento/tarifas/tarifa_rio_de_janeiro/" TargetMode="External"/><Relationship Id="rId59" Type="http://schemas.openxmlformats.org/officeDocument/2006/relationships/hyperlink" Target="https://www.naturgy.com.br/atendimento/tarifas/tarifa_sao_paulo" TargetMode="External"/><Relationship Id="rId67" Type="http://schemas.openxmlformats.org/officeDocument/2006/relationships/hyperlink" Target="https://www.sergipegas.com.br/tarifas" TargetMode="External"/><Relationship Id="rId20" Type="http://schemas.openxmlformats.org/officeDocument/2006/relationships/hyperlink" Target="https://gasmig.com.br/comercial/" TargetMode="External"/><Relationship Id="rId41" Type="http://schemas.openxmlformats.org/officeDocument/2006/relationships/hyperlink" Target="https://potigas.com.br/sistema-tarifario/vigente" TargetMode="External"/><Relationship Id="rId54" Type="http://schemas.openxmlformats.org/officeDocument/2006/relationships/hyperlink" Target="https://www.arsesp.sp.gov.br/Paginas/Tarifas.aspx" TargetMode="External"/><Relationship Id="rId62" Type="http://schemas.openxmlformats.org/officeDocument/2006/relationships/hyperlink" Target="https://gasmig.com.br/industrial/" TargetMode="External"/><Relationship Id="rId70" Type="http://schemas.openxmlformats.org/officeDocument/2006/relationships/hyperlink" Target="https://www.arsal.al.gov.br/tarifas-mercado-cativo1/category/362-estrutura-tarifaria" TargetMode="External"/><Relationship Id="rId75" Type="http://schemas.openxmlformats.org/officeDocument/2006/relationships/hyperlink" Target="https://www.arsal.al.gov.br/tarifas-mercado-cativo1/category/362-estrutura-tarifaria" TargetMode="External"/><Relationship Id="rId83" Type="http://schemas.openxmlformats.org/officeDocument/2006/relationships/hyperlink" Target="https://www.arsal.al.gov.br/tarifas-mercado-cativo1/category/362-estrutura-tarifaria" TargetMode="External"/><Relationship Id="rId88" Type="http://schemas.openxmlformats.org/officeDocument/2006/relationships/hyperlink" Target="https://www.arsal.al.gov.br/tarifas-mercado-cativo1/category/362-estrutura-tarifaria" TargetMode="External"/><Relationship Id="rId91" Type="http://schemas.openxmlformats.org/officeDocument/2006/relationships/hyperlink" Target="https://www.arsal.al.gov.br/tarifas-mercado-cativo1/category/362-estrutura-tarifaria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s://www.comgas.com.br/sobre-sua-conta/tarifas" TargetMode="External"/><Relationship Id="rId6" Type="http://schemas.openxmlformats.org/officeDocument/2006/relationships/hyperlink" Target="https://www.naturgy.com.br/atendimento/tarifas/tarifa_sao_paulo" TargetMode="External"/><Relationship Id="rId15" Type="http://schemas.openxmlformats.org/officeDocument/2006/relationships/hyperlink" Target="https://www.naturgy.com.br/atendimento/tarifas/tarifa_rio_de_janeiro/" TargetMode="External"/><Relationship Id="rId23" Type="http://schemas.openxmlformats.org/officeDocument/2006/relationships/hyperlink" Target="https://www.scgas.com.br/scgas/site/destaque/tarifas-e-simuladores" TargetMode="External"/><Relationship Id="rId28" Type="http://schemas.openxmlformats.org/officeDocument/2006/relationships/hyperlink" Target="https://mtgas.com.br/tarifas/" TargetMode="External"/><Relationship Id="rId36" Type="http://schemas.openxmlformats.org/officeDocument/2006/relationships/hyperlink" Target="https://www.cegas.com.br/gas-natural/tabela-de-tarifas-atual-3/" TargetMode="External"/><Relationship Id="rId49" Type="http://schemas.openxmlformats.org/officeDocument/2006/relationships/hyperlink" Target="https://potigas.com.br/sistema-tarifario/vigente" TargetMode="External"/><Relationship Id="rId57" Type="http://schemas.openxmlformats.org/officeDocument/2006/relationships/hyperlink" Target="https://www.naturgy.com.br/atendimento/tarifas/tarifa_sao_paulo" TargetMode="External"/><Relationship Id="rId10" Type="http://schemas.openxmlformats.org/officeDocument/2006/relationships/hyperlink" Target="https://www.arsesp.sp.gov.br/Paginas/Tarifas.aspx" TargetMode="External"/><Relationship Id="rId31" Type="http://schemas.openxmlformats.org/officeDocument/2006/relationships/hyperlink" Target="https://www.arsal.al.gov.br/tarifas-mercado-cativo1/category/362-estrutura-tarifaria" TargetMode="External"/><Relationship Id="rId44" Type="http://schemas.openxmlformats.org/officeDocument/2006/relationships/hyperlink" Target="https://www.naturgy.com.br/atendimento/tarifas/tarifa_rio_de_janeiro/" TargetMode="External"/><Relationship Id="rId52" Type="http://schemas.openxmlformats.org/officeDocument/2006/relationships/hyperlink" Target="https://potigas.com.br/sistema-tarifario/vigente" TargetMode="External"/><Relationship Id="rId60" Type="http://schemas.openxmlformats.org/officeDocument/2006/relationships/hyperlink" Target="https://www.sulgas.com.vc/industrial/" TargetMode="External"/><Relationship Id="rId65" Type="http://schemas.openxmlformats.org/officeDocument/2006/relationships/hyperlink" Target="https://www.sergipegas.com.br/tarifas" TargetMode="External"/><Relationship Id="rId73" Type="http://schemas.openxmlformats.org/officeDocument/2006/relationships/hyperlink" Target="https://www.arsal.al.gov.br/tarifas-mercado-cativo1/category/362-estrutura-tarifaria" TargetMode="External"/><Relationship Id="rId78" Type="http://schemas.openxmlformats.org/officeDocument/2006/relationships/hyperlink" Target="https://www.arsal.al.gov.br/tarifas-mercado-cativo1/category/362-estrutura-tarifaria" TargetMode="External"/><Relationship Id="rId81" Type="http://schemas.openxmlformats.org/officeDocument/2006/relationships/hyperlink" Target="https://www.arsal.al.gov.br/tarifas-mercado-cativo1/category/362-estrutura-tarifaria" TargetMode="External"/><Relationship Id="rId86" Type="http://schemas.openxmlformats.org/officeDocument/2006/relationships/hyperlink" Target="https://www.arsal.al.gov.br/tarifas-mercado-cativo1/category/362-estrutura-tarifaria" TargetMode="External"/><Relationship Id="rId94" Type="http://schemas.openxmlformats.org/officeDocument/2006/relationships/hyperlink" Target="https://www.sergipegas.com.br/tarifas" TargetMode="External"/><Relationship Id="rId4" Type="http://schemas.openxmlformats.org/officeDocument/2006/relationships/hyperlink" Target="https://www.naturgy.com.br/atendimento/tarifas/tarifa_sao_paulo" TargetMode="External"/><Relationship Id="rId9" Type="http://schemas.openxmlformats.org/officeDocument/2006/relationships/hyperlink" Target="https://arsp.es.gov.br/gas/tarifas/ESGas/tarifavigente" TargetMode="External"/><Relationship Id="rId13" Type="http://schemas.openxmlformats.org/officeDocument/2006/relationships/hyperlink" Target="https://www.naturgy.com.br/atendimento/tarifas/tarifa_rio_de_janeiro/" TargetMode="External"/><Relationship Id="rId18" Type="http://schemas.openxmlformats.org/officeDocument/2006/relationships/hyperlink" Target="https://gasmig.com.br/comercial/" TargetMode="External"/><Relationship Id="rId39" Type="http://schemas.openxmlformats.org/officeDocument/2006/relationships/hyperlink" Target="https://copergas.com.br/informacoes/tarifas/" TargetMode="External"/><Relationship Id="rId34" Type="http://schemas.openxmlformats.org/officeDocument/2006/relationships/hyperlink" Target="https://www.bahiagas.com.br/noticias/item/507-nova-tabela-tarifaria" TargetMode="External"/><Relationship Id="rId50" Type="http://schemas.openxmlformats.org/officeDocument/2006/relationships/hyperlink" Target="https://www.sulgas.com.vc/residencial/" TargetMode="External"/><Relationship Id="rId55" Type="http://schemas.openxmlformats.org/officeDocument/2006/relationships/hyperlink" Target="https://www.naturgy.com.br/atendimento/tarifas/tarifa_sao_paulo" TargetMode="External"/><Relationship Id="rId76" Type="http://schemas.openxmlformats.org/officeDocument/2006/relationships/hyperlink" Target="https://www.arsal.al.gov.br/tarifas-mercado-cativo1/category/362-estrutura-tarifaria" TargetMode="External"/><Relationship Id="rId7" Type="http://schemas.openxmlformats.org/officeDocument/2006/relationships/hyperlink" Target="https://www.naturgy.com.br/atendimento/tarifas/tarifa_sao_paulo" TargetMode="External"/><Relationship Id="rId71" Type="http://schemas.openxmlformats.org/officeDocument/2006/relationships/hyperlink" Target="https://www.arsal.al.gov.br/tarifas-mercado-cativo1/category/362-estrutura-tarifaria" TargetMode="External"/><Relationship Id="rId92" Type="http://schemas.openxmlformats.org/officeDocument/2006/relationships/hyperlink" Target="https://www.arsal.al.gov.br/tarifas-mercado-cativo1/category/362-estrutura-tarifaria" TargetMode="External"/><Relationship Id="rId2" Type="http://schemas.openxmlformats.org/officeDocument/2006/relationships/hyperlink" Target="https://www.comgas.com.br/sobre-sua-conta/tarifas" TargetMode="External"/><Relationship Id="rId29" Type="http://schemas.openxmlformats.org/officeDocument/2006/relationships/hyperlink" Target="https://www.cigas.com.br/tabela-tarifaria" TargetMode="External"/><Relationship Id="rId24" Type="http://schemas.openxmlformats.org/officeDocument/2006/relationships/hyperlink" Target="https://www.scgas.com.br/scgas/site/destaque/tarifas-e-simuladores" TargetMode="External"/><Relationship Id="rId40" Type="http://schemas.openxmlformats.org/officeDocument/2006/relationships/hyperlink" Target="https://copergas.com.br/informacoes/tarifas/" TargetMode="External"/><Relationship Id="rId45" Type="http://schemas.openxmlformats.org/officeDocument/2006/relationships/hyperlink" Target="https://www.naturgy.com.br/atendimento/tarifas/tarifa_rio_de_janeiro/" TargetMode="External"/><Relationship Id="rId66" Type="http://schemas.openxmlformats.org/officeDocument/2006/relationships/hyperlink" Target="https://gasmig.com.br/industrial/" TargetMode="External"/><Relationship Id="rId87" Type="http://schemas.openxmlformats.org/officeDocument/2006/relationships/hyperlink" Target="https://www.arsal.al.gov.br/tarifas-mercado-cativo1/category/362-estrutura-tarifaria" TargetMode="External"/><Relationship Id="rId61" Type="http://schemas.openxmlformats.org/officeDocument/2006/relationships/hyperlink" Target="https://www.bahiagas.com.br/noticias/item/507-nova-tabela-tarifaria" TargetMode="External"/><Relationship Id="rId82" Type="http://schemas.openxmlformats.org/officeDocument/2006/relationships/hyperlink" Target="https://www.arsal.al.gov.br/tarifas-mercado-cativo1/category/362-estrutura-tarifaria" TargetMode="External"/><Relationship Id="rId19" Type="http://schemas.openxmlformats.org/officeDocument/2006/relationships/hyperlink" Target="https://gasmig.com.br/comercial/" TargetMode="External"/><Relationship Id="rId14" Type="http://schemas.openxmlformats.org/officeDocument/2006/relationships/hyperlink" Target="https://www.naturgy.com.br/atendimento/tarifas/tarifa_rio_de_janeiro/" TargetMode="External"/><Relationship Id="rId30" Type="http://schemas.openxmlformats.org/officeDocument/2006/relationships/hyperlink" Target="https://www.cigas.com.br/tabela-tarifaria" TargetMode="External"/><Relationship Id="rId35" Type="http://schemas.openxmlformats.org/officeDocument/2006/relationships/hyperlink" Target="https://www.cegas.com.br/gas-natural/tabela-de-tarifas-atual-3/" TargetMode="External"/><Relationship Id="rId56" Type="http://schemas.openxmlformats.org/officeDocument/2006/relationships/hyperlink" Target="https://www.naturgy.com.br/atendimento/tarifas/tarifa_sao_paulo" TargetMode="External"/><Relationship Id="rId77" Type="http://schemas.openxmlformats.org/officeDocument/2006/relationships/hyperlink" Target="https://www.arsal.al.gov.br/tarifas-mercado-cativo1/category/362-estrutura-tarifa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4A39-85ED-4244-80F8-1B07CF01515C}">
  <dimension ref="A1:S494"/>
  <sheetViews>
    <sheetView showGridLines="0" tabSelected="1" zoomScale="90" zoomScaleNormal="90" workbookViewId="0">
      <selection activeCell="S299" sqref="S299"/>
    </sheetView>
  </sheetViews>
  <sheetFormatPr defaultColWidth="8.88671875" defaultRowHeight="14.4" x14ac:dyDescent="0.3"/>
  <cols>
    <col min="1" max="1" width="28.109375" style="1" bestFit="1" customWidth="1"/>
    <col min="2" max="2" width="22.21875" style="1" bestFit="1" customWidth="1"/>
    <col min="3" max="3" width="40.44140625" style="1" bestFit="1" customWidth="1"/>
    <col min="4" max="4" width="16.5546875" style="1" bestFit="1" customWidth="1"/>
    <col min="5" max="5" width="12.109375" style="1" bestFit="1" customWidth="1"/>
    <col min="6" max="6" width="26.44140625" style="1" bestFit="1" customWidth="1"/>
    <col min="7" max="7" width="50.21875" style="1" customWidth="1"/>
    <col min="8" max="8" width="26.21875" style="2" bestFit="1" customWidth="1"/>
    <col min="9" max="9" width="26.44140625" style="2" bestFit="1" customWidth="1"/>
    <col min="10" max="10" width="27.6640625" style="1" bestFit="1" customWidth="1"/>
    <col min="11" max="11" width="27.6640625" style="23" bestFit="1" customWidth="1"/>
    <col min="12" max="12" width="31.21875" style="1" bestFit="1" customWidth="1"/>
    <col min="13" max="13" width="21" style="1" bestFit="1" customWidth="1"/>
    <col min="14" max="14" width="15.109375" style="1" bestFit="1" customWidth="1"/>
    <col min="15" max="16" width="16.5546875" style="1" bestFit="1" customWidth="1"/>
    <col min="17" max="17" width="30.88671875" style="1" bestFit="1" customWidth="1"/>
    <col min="18" max="18" width="80.44140625" style="8" bestFit="1" customWidth="1"/>
    <col min="19" max="19" width="49" style="8" bestFit="1" customWidth="1"/>
    <col min="20" max="20" width="10.88671875" style="1" bestFit="1" customWidth="1"/>
    <col min="21" max="16384" width="8.88671875" style="1"/>
  </cols>
  <sheetData>
    <row r="1" spans="1:19" ht="55.2" customHeight="1" x14ac:dyDescent="0.3">
      <c r="A1" s="3" t="s">
        <v>0</v>
      </c>
      <c r="B1" s="3" t="s">
        <v>182</v>
      </c>
      <c r="C1" s="3" t="s">
        <v>79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6" t="s">
        <v>81</v>
      </c>
      <c r="K1" s="21" t="s">
        <v>82</v>
      </c>
      <c r="L1" s="5" t="s">
        <v>7</v>
      </c>
      <c r="M1" s="7" t="s">
        <v>84</v>
      </c>
      <c r="N1" s="7" t="s">
        <v>72</v>
      </c>
      <c r="O1" s="4" t="s">
        <v>136</v>
      </c>
      <c r="P1" s="4" t="s">
        <v>137</v>
      </c>
      <c r="Q1" s="4" t="s">
        <v>138</v>
      </c>
      <c r="R1" s="42" t="s">
        <v>142</v>
      </c>
      <c r="S1" s="4" t="s">
        <v>160</v>
      </c>
    </row>
    <row r="2" spans="1:19" x14ac:dyDescent="0.3">
      <c r="A2" s="33" t="s">
        <v>8</v>
      </c>
      <c r="B2" s="34" t="s">
        <v>9</v>
      </c>
      <c r="C2" s="35" t="s">
        <v>78</v>
      </c>
      <c r="D2" s="36">
        <v>1</v>
      </c>
      <c r="E2" s="36" t="s">
        <v>10</v>
      </c>
      <c r="F2" s="36" t="s">
        <v>11</v>
      </c>
      <c r="G2" s="36" t="s">
        <v>12</v>
      </c>
      <c r="H2" s="24">
        <v>0</v>
      </c>
      <c r="I2" s="24">
        <v>500</v>
      </c>
      <c r="J2" s="27">
        <v>7.7328929999999998</v>
      </c>
      <c r="K2" s="37">
        <v>78.14</v>
      </c>
      <c r="L2" s="38">
        <v>46182</v>
      </c>
      <c r="M2" s="12">
        <v>8.8999999999999996E-2</v>
      </c>
      <c r="N2" s="11">
        <f>_xlfn.XLOOKUP(E2,ICMS!C:C,ICMS!D:D)</f>
        <v>0.15</v>
      </c>
      <c r="O2" s="36">
        <v>1</v>
      </c>
      <c r="P2" s="10"/>
      <c r="Q2" s="10" t="s">
        <v>139</v>
      </c>
      <c r="R2" s="28" t="s">
        <v>141</v>
      </c>
      <c r="S2" s="26" t="s">
        <v>161</v>
      </c>
    </row>
    <row r="3" spans="1:19" x14ac:dyDescent="0.3">
      <c r="A3" s="33" t="s">
        <v>8</v>
      </c>
      <c r="B3" s="34" t="s">
        <v>9</v>
      </c>
      <c r="C3" s="35" t="s">
        <v>78</v>
      </c>
      <c r="D3" s="36">
        <v>2</v>
      </c>
      <c r="E3" s="36" t="s">
        <v>10</v>
      </c>
      <c r="F3" s="36" t="s">
        <v>11</v>
      </c>
      <c r="G3" s="36" t="s">
        <v>12</v>
      </c>
      <c r="H3" s="24">
        <f>I2+0.01</f>
        <v>500.01</v>
      </c>
      <c r="I3" s="24">
        <v>2000</v>
      </c>
      <c r="J3" s="27">
        <v>7.5177899999999998</v>
      </c>
      <c r="K3" s="37">
        <v>186.85</v>
      </c>
      <c r="L3" s="38">
        <v>46182</v>
      </c>
      <c r="M3" s="12">
        <v>8.8999999999999996E-2</v>
      </c>
      <c r="N3" s="11">
        <f>_xlfn.XLOOKUP(E3,ICMS!C:C,ICMS!D:D)</f>
        <v>0.15</v>
      </c>
      <c r="O3" s="36">
        <f>1+O2</f>
        <v>2</v>
      </c>
      <c r="P3" s="10"/>
      <c r="Q3" s="10" t="s">
        <v>139</v>
      </c>
      <c r="R3" s="28" t="s">
        <v>141</v>
      </c>
      <c r="S3" s="26" t="s">
        <v>161</v>
      </c>
    </row>
    <row r="4" spans="1:19" x14ac:dyDescent="0.3">
      <c r="A4" s="33" t="s">
        <v>8</v>
      </c>
      <c r="B4" s="34" t="s">
        <v>9</v>
      </c>
      <c r="C4" s="35" t="s">
        <v>78</v>
      </c>
      <c r="D4" s="36">
        <v>3</v>
      </c>
      <c r="E4" s="36" t="s">
        <v>10</v>
      </c>
      <c r="F4" s="36" t="s">
        <v>11</v>
      </c>
      <c r="G4" s="36" t="s">
        <v>12</v>
      </c>
      <c r="H4" s="24">
        <f>I3+0.01</f>
        <v>2000.01</v>
      </c>
      <c r="I4" s="24">
        <v>99999999999</v>
      </c>
      <c r="J4" s="27">
        <v>7.2489119999999998</v>
      </c>
      <c r="K4" s="37">
        <v>730.35</v>
      </c>
      <c r="L4" s="38">
        <v>46182</v>
      </c>
      <c r="M4" s="12">
        <v>8.8999999999999996E-2</v>
      </c>
      <c r="N4" s="11">
        <f>_xlfn.XLOOKUP(E4,ICMS!C:C,ICMS!D:D)</f>
        <v>0.15</v>
      </c>
      <c r="O4" s="36">
        <f t="shared" ref="O4:O67" si="0">1+O3</f>
        <v>3</v>
      </c>
      <c r="P4" s="10"/>
      <c r="Q4" s="10" t="s">
        <v>139</v>
      </c>
      <c r="R4" s="28" t="s">
        <v>141</v>
      </c>
      <c r="S4" s="26" t="s">
        <v>161</v>
      </c>
    </row>
    <row r="5" spans="1:19" x14ac:dyDescent="0.3">
      <c r="A5" s="33" t="s">
        <v>13</v>
      </c>
      <c r="B5" s="34" t="s">
        <v>9</v>
      </c>
      <c r="C5" s="35" t="s">
        <v>78</v>
      </c>
      <c r="D5" s="36">
        <v>1</v>
      </c>
      <c r="E5" s="36" t="s">
        <v>10</v>
      </c>
      <c r="F5" s="36" t="s">
        <v>11</v>
      </c>
      <c r="G5" s="36" t="s">
        <v>14</v>
      </c>
      <c r="H5" s="24">
        <v>0</v>
      </c>
      <c r="I5" s="24">
        <v>150</v>
      </c>
      <c r="J5" s="27">
        <v>7.3658099999999997</v>
      </c>
      <c r="K5" s="37">
        <v>53.29</v>
      </c>
      <c r="L5" s="38">
        <v>46182</v>
      </c>
      <c r="M5" s="12">
        <v>8.8999999999999996E-2</v>
      </c>
      <c r="N5" s="11">
        <f>_xlfn.XLOOKUP(E5,ICMS!C:C,ICMS!D:D)</f>
        <v>0.15</v>
      </c>
      <c r="O5" s="36">
        <f t="shared" si="0"/>
        <v>4</v>
      </c>
      <c r="P5" s="10"/>
      <c r="Q5" s="10" t="s">
        <v>139</v>
      </c>
      <c r="R5" s="28" t="s">
        <v>141</v>
      </c>
      <c r="S5" s="26" t="s">
        <v>161</v>
      </c>
    </row>
    <row r="6" spans="1:19" x14ac:dyDescent="0.3">
      <c r="A6" s="33" t="s">
        <v>13</v>
      </c>
      <c r="B6" s="34" t="s">
        <v>9</v>
      </c>
      <c r="C6" s="35" t="s">
        <v>78</v>
      </c>
      <c r="D6" s="36">
        <v>2</v>
      </c>
      <c r="E6" s="36" t="s">
        <v>10</v>
      </c>
      <c r="F6" s="36" t="s">
        <v>11</v>
      </c>
      <c r="G6" s="36" t="s">
        <v>14</v>
      </c>
      <c r="H6" s="24">
        <f>I5+0.01</f>
        <v>150.01</v>
      </c>
      <c r="I6" s="24">
        <v>500</v>
      </c>
      <c r="J6" s="27">
        <v>6.9292449999999999</v>
      </c>
      <c r="K6" s="37">
        <v>119.47</v>
      </c>
      <c r="L6" s="38">
        <v>46182</v>
      </c>
      <c r="M6" s="12">
        <v>8.8999999999999996E-2</v>
      </c>
      <c r="N6" s="11">
        <f>_xlfn.XLOOKUP(E6,ICMS!C:C,ICMS!D:D)</f>
        <v>0.15</v>
      </c>
      <c r="O6" s="36">
        <f t="shared" si="0"/>
        <v>5</v>
      </c>
      <c r="P6" s="10"/>
      <c r="Q6" s="10" t="s">
        <v>139</v>
      </c>
      <c r="R6" s="28" t="s">
        <v>141</v>
      </c>
      <c r="S6" s="26" t="s">
        <v>161</v>
      </c>
    </row>
    <row r="7" spans="1:19" x14ac:dyDescent="0.3">
      <c r="A7" s="33" t="s">
        <v>13</v>
      </c>
      <c r="B7" s="34" t="s">
        <v>9</v>
      </c>
      <c r="C7" s="35" t="s">
        <v>78</v>
      </c>
      <c r="D7" s="36">
        <v>3</v>
      </c>
      <c r="E7" s="36" t="s">
        <v>10</v>
      </c>
      <c r="F7" s="36" t="s">
        <v>11</v>
      </c>
      <c r="G7" s="36" t="s">
        <v>14</v>
      </c>
      <c r="H7" s="24">
        <f t="shared" ref="H7:H25" si="1">I6+0.01</f>
        <v>500.01</v>
      </c>
      <c r="I7" s="24">
        <v>3500</v>
      </c>
      <c r="J7" s="27">
        <v>6.2934419999999998</v>
      </c>
      <c r="K7" s="37">
        <v>440.78</v>
      </c>
      <c r="L7" s="38">
        <v>46182</v>
      </c>
      <c r="M7" s="12">
        <v>8.8999999999999996E-2</v>
      </c>
      <c r="N7" s="11">
        <f>_xlfn.XLOOKUP(E7,ICMS!C:C,ICMS!D:D)</f>
        <v>0.15</v>
      </c>
      <c r="O7" s="36">
        <f t="shared" si="0"/>
        <v>6</v>
      </c>
      <c r="P7" s="10"/>
      <c r="Q7" s="10" t="s">
        <v>139</v>
      </c>
      <c r="R7" s="28" t="s">
        <v>141</v>
      </c>
      <c r="S7" s="26" t="s">
        <v>161</v>
      </c>
    </row>
    <row r="8" spans="1:19" x14ac:dyDescent="0.3">
      <c r="A8" s="33" t="s">
        <v>13</v>
      </c>
      <c r="B8" s="34" t="s">
        <v>9</v>
      </c>
      <c r="C8" s="35" t="s">
        <v>78</v>
      </c>
      <c r="D8" s="36">
        <v>4</v>
      </c>
      <c r="E8" s="36" t="s">
        <v>10</v>
      </c>
      <c r="F8" s="36" t="s">
        <v>11</v>
      </c>
      <c r="G8" s="36" t="s">
        <v>14</v>
      </c>
      <c r="H8" s="24">
        <f t="shared" si="1"/>
        <v>3500.01</v>
      </c>
      <c r="I8" s="24">
        <v>50000</v>
      </c>
      <c r="J8" s="27">
        <v>5.0028280000000001</v>
      </c>
      <c r="K8" s="37">
        <v>5006.3500000000004</v>
      </c>
      <c r="L8" s="38">
        <v>46182</v>
      </c>
      <c r="M8" s="12">
        <v>8.8999999999999996E-2</v>
      </c>
      <c r="N8" s="11">
        <f>_xlfn.XLOOKUP(E8,ICMS!C:C,ICMS!D:D)</f>
        <v>0.15</v>
      </c>
      <c r="O8" s="36">
        <f t="shared" si="0"/>
        <v>7</v>
      </c>
      <c r="P8" s="10"/>
      <c r="Q8" s="10" t="s">
        <v>139</v>
      </c>
      <c r="R8" s="28" t="s">
        <v>141</v>
      </c>
      <c r="S8" s="26" t="s">
        <v>161</v>
      </c>
    </row>
    <row r="9" spans="1:19" x14ac:dyDescent="0.3">
      <c r="A9" s="33" t="s">
        <v>13</v>
      </c>
      <c r="B9" s="34" t="s">
        <v>9</v>
      </c>
      <c r="C9" s="35" t="s">
        <v>78</v>
      </c>
      <c r="D9" s="36">
        <v>5</v>
      </c>
      <c r="E9" s="36" t="s">
        <v>10</v>
      </c>
      <c r="F9" s="36" t="s">
        <v>11</v>
      </c>
      <c r="G9" s="36" t="s">
        <v>14</v>
      </c>
      <c r="H9" s="24">
        <f t="shared" si="1"/>
        <v>50000.01</v>
      </c>
      <c r="I9" s="24">
        <v>99999999999</v>
      </c>
      <c r="J9" s="27">
        <v>4.787725</v>
      </c>
      <c r="K9" s="37">
        <v>15876.35</v>
      </c>
      <c r="L9" s="38">
        <v>46182</v>
      </c>
      <c r="M9" s="12">
        <v>8.8999999999999996E-2</v>
      </c>
      <c r="N9" s="11">
        <f>_xlfn.XLOOKUP(E9,ICMS!C:C,ICMS!D:D)</f>
        <v>0.15</v>
      </c>
      <c r="O9" s="36">
        <f t="shared" si="0"/>
        <v>8</v>
      </c>
      <c r="P9" s="10"/>
      <c r="Q9" s="10" t="s">
        <v>139</v>
      </c>
      <c r="R9" s="28" t="s">
        <v>141</v>
      </c>
      <c r="S9" s="26" t="s">
        <v>161</v>
      </c>
    </row>
    <row r="10" spans="1:19" x14ac:dyDescent="0.3">
      <c r="A10" s="33" t="s">
        <v>15</v>
      </c>
      <c r="B10" s="34" t="s">
        <v>9</v>
      </c>
      <c r="C10" s="35" t="s">
        <v>78</v>
      </c>
      <c r="D10" s="36">
        <v>1</v>
      </c>
      <c r="E10" s="36" t="s">
        <v>10</v>
      </c>
      <c r="F10" s="36" t="s">
        <v>11</v>
      </c>
      <c r="G10" s="36" t="s">
        <v>16</v>
      </c>
      <c r="H10" s="24">
        <v>0</v>
      </c>
      <c r="I10" s="24">
        <v>50000</v>
      </c>
      <c r="J10" s="27">
        <v>4.149025</v>
      </c>
      <c r="K10" s="37">
        <v>299.94</v>
      </c>
      <c r="L10" s="38">
        <v>46182</v>
      </c>
      <c r="M10" s="12">
        <v>8.8999999999999996E-2</v>
      </c>
      <c r="N10" s="11">
        <f>_xlfn.XLOOKUP(E10,ICMS!C:C,ICMS!D:D)</f>
        <v>0.15</v>
      </c>
      <c r="O10" s="36">
        <f t="shared" si="0"/>
        <v>9</v>
      </c>
      <c r="P10" s="10"/>
      <c r="Q10" s="10" t="s">
        <v>139</v>
      </c>
      <c r="R10" s="28" t="s">
        <v>141</v>
      </c>
      <c r="S10" s="26" t="s">
        <v>161</v>
      </c>
    </row>
    <row r="11" spans="1:19" x14ac:dyDescent="0.3">
      <c r="A11" s="33" t="s">
        <v>15</v>
      </c>
      <c r="B11" s="34" t="s">
        <v>9</v>
      </c>
      <c r="C11" s="35" t="s">
        <v>78</v>
      </c>
      <c r="D11" s="36">
        <v>2</v>
      </c>
      <c r="E11" s="36" t="s">
        <v>10</v>
      </c>
      <c r="F11" s="36" t="s">
        <v>11</v>
      </c>
      <c r="G11" s="36" t="s">
        <v>16</v>
      </c>
      <c r="H11" s="24">
        <f t="shared" si="1"/>
        <v>50000.01</v>
      </c>
      <c r="I11" s="24">
        <v>300000</v>
      </c>
      <c r="J11" s="27">
        <v>3.2436319999999998</v>
      </c>
      <c r="K11" s="37">
        <v>45569.61</v>
      </c>
      <c r="L11" s="38">
        <v>46182</v>
      </c>
      <c r="M11" s="12">
        <v>8.8999999999999996E-2</v>
      </c>
      <c r="N11" s="11">
        <f>_xlfn.XLOOKUP(E11,ICMS!C:C,ICMS!D:D)</f>
        <v>0.15</v>
      </c>
      <c r="O11" s="36">
        <f t="shared" si="0"/>
        <v>10</v>
      </c>
      <c r="P11" s="10"/>
      <c r="Q11" s="10" t="s">
        <v>139</v>
      </c>
      <c r="R11" s="28" t="s">
        <v>141</v>
      </c>
      <c r="S11" s="26" t="s">
        <v>161</v>
      </c>
    </row>
    <row r="12" spans="1:19" x14ac:dyDescent="0.3">
      <c r="A12" s="33" t="s">
        <v>15</v>
      </c>
      <c r="B12" s="34" t="s">
        <v>9</v>
      </c>
      <c r="C12" s="35" t="s">
        <v>78</v>
      </c>
      <c r="D12" s="36">
        <v>3</v>
      </c>
      <c r="E12" s="36" t="s">
        <v>10</v>
      </c>
      <c r="F12" s="36" t="s">
        <v>11</v>
      </c>
      <c r="G12" s="36" t="s">
        <v>16</v>
      </c>
      <c r="H12" s="24">
        <f t="shared" si="1"/>
        <v>300000.01</v>
      </c>
      <c r="I12" s="24">
        <v>500000</v>
      </c>
      <c r="J12" s="27">
        <v>3.1395629999999999</v>
      </c>
      <c r="K12" s="37">
        <v>76814.740000000005</v>
      </c>
      <c r="L12" s="38">
        <v>46182</v>
      </c>
      <c r="M12" s="12">
        <v>8.8999999999999996E-2</v>
      </c>
      <c r="N12" s="11">
        <f>_xlfn.XLOOKUP(E12,ICMS!C:C,ICMS!D:D)</f>
        <v>0.15</v>
      </c>
      <c r="O12" s="36">
        <f t="shared" si="0"/>
        <v>11</v>
      </c>
      <c r="P12" s="10"/>
      <c r="Q12" s="10" t="s">
        <v>139</v>
      </c>
      <c r="R12" s="28" t="s">
        <v>141</v>
      </c>
      <c r="S12" s="26" t="s">
        <v>161</v>
      </c>
    </row>
    <row r="13" spans="1:19" x14ac:dyDescent="0.3">
      <c r="A13" s="33" t="s">
        <v>15</v>
      </c>
      <c r="B13" s="34" t="s">
        <v>9</v>
      </c>
      <c r="C13" s="35" t="s">
        <v>78</v>
      </c>
      <c r="D13" s="36">
        <v>4</v>
      </c>
      <c r="E13" s="36" t="s">
        <v>10</v>
      </c>
      <c r="F13" s="36" t="s">
        <v>11</v>
      </c>
      <c r="G13" s="36" t="s">
        <v>16</v>
      </c>
      <c r="H13" s="24">
        <f t="shared" si="1"/>
        <v>500000.01</v>
      </c>
      <c r="I13" s="24">
        <v>1000000</v>
      </c>
      <c r="J13" s="27">
        <v>3.0854720000000002</v>
      </c>
      <c r="K13" s="37">
        <v>104696.61</v>
      </c>
      <c r="L13" s="38">
        <v>46182</v>
      </c>
      <c r="M13" s="12">
        <v>8.8999999999999996E-2</v>
      </c>
      <c r="N13" s="11">
        <f>_xlfn.XLOOKUP(E13,ICMS!C:C,ICMS!D:D)</f>
        <v>0.15</v>
      </c>
      <c r="O13" s="36">
        <f t="shared" si="0"/>
        <v>12</v>
      </c>
      <c r="P13" s="10"/>
      <c r="Q13" s="10" t="s">
        <v>139</v>
      </c>
      <c r="R13" s="28" t="s">
        <v>141</v>
      </c>
      <c r="S13" s="26" t="s">
        <v>161</v>
      </c>
    </row>
    <row r="14" spans="1:19" x14ac:dyDescent="0.3">
      <c r="A14" s="33" t="s">
        <v>15</v>
      </c>
      <c r="B14" s="34" t="s">
        <v>9</v>
      </c>
      <c r="C14" s="35" t="s">
        <v>78</v>
      </c>
      <c r="D14" s="36">
        <v>5</v>
      </c>
      <c r="E14" s="36" t="s">
        <v>10</v>
      </c>
      <c r="F14" s="36" t="s">
        <v>11</v>
      </c>
      <c r="G14" s="36" t="s">
        <v>16</v>
      </c>
      <c r="H14" s="24">
        <f t="shared" si="1"/>
        <v>1000000.01</v>
      </c>
      <c r="I14" s="24">
        <v>2000000</v>
      </c>
      <c r="J14" s="27">
        <v>3.0457200000000002</v>
      </c>
      <c r="K14" s="37">
        <v>145676.98000000001</v>
      </c>
      <c r="L14" s="38">
        <v>46182</v>
      </c>
      <c r="M14" s="12">
        <v>8.8999999999999996E-2</v>
      </c>
      <c r="N14" s="11">
        <f>_xlfn.XLOOKUP(E14,ICMS!C:C,ICMS!D:D)</f>
        <v>0.15</v>
      </c>
      <c r="O14" s="36">
        <f t="shared" si="0"/>
        <v>13</v>
      </c>
      <c r="P14" s="10"/>
      <c r="Q14" s="10" t="s">
        <v>139</v>
      </c>
      <c r="R14" s="28" t="s">
        <v>141</v>
      </c>
      <c r="S14" s="26" t="s">
        <v>161</v>
      </c>
    </row>
    <row r="15" spans="1:19" x14ac:dyDescent="0.3">
      <c r="A15" s="33" t="s">
        <v>15</v>
      </c>
      <c r="B15" s="34" t="s">
        <v>9</v>
      </c>
      <c r="C15" s="35" t="s">
        <v>78</v>
      </c>
      <c r="D15" s="36">
        <v>6</v>
      </c>
      <c r="E15" s="36" t="s">
        <v>10</v>
      </c>
      <c r="F15" s="36" t="s">
        <v>11</v>
      </c>
      <c r="G15" s="36" t="s">
        <v>16</v>
      </c>
      <c r="H15" s="24">
        <f t="shared" si="1"/>
        <v>2000000.01</v>
      </c>
      <c r="I15" s="24">
        <v>99999999999</v>
      </c>
      <c r="J15" s="27">
        <v>2.9959530000000001</v>
      </c>
      <c r="K15" s="37">
        <v>248290.96</v>
      </c>
      <c r="L15" s="38">
        <v>46182</v>
      </c>
      <c r="M15" s="12">
        <v>8.8999999999999996E-2</v>
      </c>
      <c r="N15" s="11">
        <f>_xlfn.XLOOKUP(E15,ICMS!C:C,ICMS!D:D)</f>
        <v>0.15</v>
      </c>
      <c r="O15" s="36">
        <f t="shared" si="0"/>
        <v>14</v>
      </c>
      <c r="P15" s="10"/>
      <c r="Q15" s="10" t="s">
        <v>139</v>
      </c>
      <c r="R15" s="28" t="s">
        <v>141</v>
      </c>
      <c r="S15" s="26" t="s">
        <v>161</v>
      </c>
    </row>
    <row r="16" spans="1:19" x14ac:dyDescent="0.3">
      <c r="A16" s="33" t="s">
        <v>18</v>
      </c>
      <c r="B16" s="34" t="s">
        <v>9</v>
      </c>
      <c r="C16" s="35" t="s">
        <v>78</v>
      </c>
      <c r="D16" s="36">
        <v>1</v>
      </c>
      <c r="E16" s="36" t="s">
        <v>10</v>
      </c>
      <c r="F16" s="36" t="s">
        <v>11</v>
      </c>
      <c r="G16" s="36" t="s">
        <v>17</v>
      </c>
      <c r="H16" s="24">
        <v>0</v>
      </c>
      <c r="I16" s="24">
        <v>1</v>
      </c>
      <c r="J16" s="27">
        <v>2.3373870000000001</v>
      </c>
      <c r="K16" s="37">
        <v>10.54</v>
      </c>
      <c r="L16" s="38">
        <v>46182</v>
      </c>
      <c r="M16" s="12">
        <v>8.8999999999999996E-2</v>
      </c>
      <c r="N16" s="11">
        <f>_xlfn.XLOOKUP(E16,ICMS!C:C,ICMS!D:D)</f>
        <v>0.15</v>
      </c>
      <c r="O16" s="36">
        <f t="shared" si="0"/>
        <v>15</v>
      </c>
      <c r="P16" s="10"/>
      <c r="Q16" s="10" t="s">
        <v>139</v>
      </c>
      <c r="R16" s="28" t="s">
        <v>141</v>
      </c>
      <c r="S16" s="26" t="s">
        <v>161</v>
      </c>
    </row>
    <row r="17" spans="1:19" x14ac:dyDescent="0.3">
      <c r="A17" s="33" t="s">
        <v>18</v>
      </c>
      <c r="B17" s="34" t="s">
        <v>9</v>
      </c>
      <c r="C17" s="35" t="s">
        <v>78</v>
      </c>
      <c r="D17" s="36">
        <v>2</v>
      </c>
      <c r="E17" s="36" t="s">
        <v>10</v>
      </c>
      <c r="F17" s="36" t="s">
        <v>11</v>
      </c>
      <c r="G17" s="36" t="s">
        <v>17</v>
      </c>
      <c r="H17" s="24">
        <f t="shared" si="1"/>
        <v>1.01</v>
      </c>
      <c r="I17" s="24">
        <v>3</v>
      </c>
      <c r="J17" s="27">
        <v>11.502461</v>
      </c>
      <c r="K17" s="37">
        <v>1.38</v>
      </c>
      <c r="L17" s="38">
        <v>46182</v>
      </c>
      <c r="M17" s="12">
        <v>8.8999999999999996E-2</v>
      </c>
      <c r="N17" s="11">
        <f>_xlfn.XLOOKUP(E17,ICMS!C:C,ICMS!D:D)</f>
        <v>0.15</v>
      </c>
      <c r="O17" s="36">
        <f t="shared" si="0"/>
        <v>16</v>
      </c>
      <c r="P17" s="10"/>
      <c r="Q17" s="10" t="s">
        <v>139</v>
      </c>
      <c r="R17" s="28" t="s">
        <v>141</v>
      </c>
      <c r="S17" s="26" t="s">
        <v>161</v>
      </c>
    </row>
    <row r="18" spans="1:19" x14ac:dyDescent="0.3">
      <c r="A18" s="33" t="s">
        <v>18</v>
      </c>
      <c r="B18" s="34" t="s">
        <v>9</v>
      </c>
      <c r="C18" s="35" t="s">
        <v>78</v>
      </c>
      <c r="D18" s="36">
        <v>3</v>
      </c>
      <c r="E18" s="36" t="s">
        <v>10</v>
      </c>
      <c r="F18" s="36" t="s">
        <v>11</v>
      </c>
      <c r="G18" s="36" t="s">
        <v>17</v>
      </c>
      <c r="H18" s="24">
        <f t="shared" si="1"/>
        <v>3.01</v>
      </c>
      <c r="I18" s="24">
        <v>7</v>
      </c>
      <c r="J18" s="27">
        <v>4.8651419999999996</v>
      </c>
      <c r="K18" s="37">
        <v>21.3</v>
      </c>
      <c r="L18" s="38">
        <v>46182</v>
      </c>
      <c r="M18" s="12">
        <v>8.8999999999999996E-2</v>
      </c>
      <c r="N18" s="11">
        <f>_xlfn.XLOOKUP(E18,ICMS!C:C,ICMS!D:D)</f>
        <v>0.15</v>
      </c>
      <c r="O18" s="36">
        <f t="shared" si="0"/>
        <v>17</v>
      </c>
      <c r="P18" s="10"/>
      <c r="Q18" s="10" t="s">
        <v>139</v>
      </c>
      <c r="R18" s="28" t="s">
        <v>141</v>
      </c>
      <c r="S18" s="26" t="s">
        <v>161</v>
      </c>
    </row>
    <row r="19" spans="1:19" x14ac:dyDescent="0.3">
      <c r="A19" s="33" t="s">
        <v>18</v>
      </c>
      <c r="B19" s="34" t="s">
        <v>9</v>
      </c>
      <c r="C19" s="35" t="s">
        <v>78</v>
      </c>
      <c r="D19" s="36">
        <v>4</v>
      </c>
      <c r="E19" s="36" t="s">
        <v>10</v>
      </c>
      <c r="F19" s="36" t="s">
        <v>11</v>
      </c>
      <c r="G19" s="36" t="s">
        <v>17</v>
      </c>
      <c r="H19" s="24">
        <f t="shared" si="1"/>
        <v>7.01</v>
      </c>
      <c r="I19" s="24">
        <v>14</v>
      </c>
      <c r="J19" s="27">
        <v>8.5667489999999997</v>
      </c>
      <c r="K19" s="37">
        <v>-4.63</v>
      </c>
      <c r="L19" s="38">
        <v>46182</v>
      </c>
      <c r="M19" s="12">
        <v>8.8999999999999996E-2</v>
      </c>
      <c r="N19" s="11">
        <f>_xlfn.XLOOKUP(E19,ICMS!C:C,ICMS!D:D)</f>
        <v>0.15</v>
      </c>
      <c r="O19" s="36">
        <f t="shared" si="0"/>
        <v>18</v>
      </c>
      <c r="P19" s="10"/>
      <c r="Q19" s="10" t="s">
        <v>139</v>
      </c>
      <c r="R19" s="28" t="s">
        <v>141</v>
      </c>
      <c r="S19" s="26" t="s">
        <v>161</v>
      </c>
    </row>
    <row r="20" spans="1:19" x14ac:dyDescent="0.3">
      <c r="A20" s="33" t="s">
        <v>18</v>
      </c>
      <c r="B20" s="34" t="s">
        <v>9</v>
      </c>
      <c r="C20" s="35" t="s">
        <v>78</v>
      </c>
      <c r="D20" s="36">
        <v>5</v>
      </c>
      <c r="E20" s="36" t="s">
        <v>10</v>
      </c>
      <c r="F20" s="36" t="s">
        <v>11</v>
      </c>
      <c r="G20" s="36" t="s">
        <v>17</v>
      </c>
      <c r="H20" s="24">
        <f t="shared" si="1"/>
        <v>14.01</v>
      </c>
      <c r="I20" s="24">
        <v>99999999999</v>
      </c>
      <c r="J20" s="27">
        <v>10.052583</v>
      </c>
      <c r="K20" s="37">
        <v>-25.43</v>
      </c>
      <c r="L20" s="38">
        <v>46182</v>
      </c>
      <c r="M20" s="12">
        <v>8.8999999999999996E-2</v>
      </c>
      <c r="N20" s="11">
        <f>_xlfn.XLOOKUP(E20,ICMS!C:C,ICMS!D:D)</f>
        <v>0.15</v>
      </c>
      <c r="O20" s="36">
        <f t="shared" si="0"/>
        <v>19</v>
      </c>
      <c r="P20" s="10"/>
      <c r="Q20" s="10" t="s">
        <v>139</v>
      </c>
      <c r="R20" s="28" t="s">
        <v>141</v>
      </c>
      <c r="S20" s="26" t="s">
        <v>161</v>
      </c>
    </row>
    <row r="21" spans="1:19" x14ac:dyDescent="0.3">
      <c r="A21" s="33" t="s">
        <v>18</v>
      </c>
      <c r="B21" s="34" t="s">
        <v>19</v>
      </c>
      <c r="C21" s="35" t="s">
        <v>78</v>
      </c>
      <c r="D21" s="36">
        <v>1</v>
      </c>
      <c r="E21" s="36" t="s">
        <v>10</v>
      </c>
      <c r="F21" s="36" t="s">
        <v>20</v>
      </c>
      <c r="G21" s="36" t="s">
        <v>17</v>
      </c>
      <c r="H21" s="24">
        <v>0</v>
      </c>
      <c r="I21" s="24">
        <v>1</v>
      </c>
      <c r="J21" s="27">
        <v>1.8863000000000001</v>
      </c>
      <c r="K21" s="37">
        <v>25.29</v>
      </c>
      <c r="L21" s="38">
        <v>46173</v>
      </c>
      <c r="M21" s="12">
        <v>0.09</v>
      </c>
      <c r="N21" s="11">
        <f>_xlfn.XLOOKUP(E21,ICMS!C:C,ICMS!D:D)</f>
        <v>0.15</v>
      </c>
      <c r="O21" s="36">
        <f t="shared" si="0"/>
        <v>20</v>
      </c>
      <c r="P21" s="10"/>
      <c r="Q21" s="10" t="s">
        <v>139</v>
      </c>
      <c r="R21" s="28" t="s">
        <v>143</v>
      </c>
      <c r="S21" s="26" t="s">
        <v>162</v>
      </c>
    </row>
    <row r="22" spans="1:19" x14ac:dyDescent="0.3">
      <c r="A22" s="33" t="s">
        <v>18</v>
      </c>
      <c r="B22" s="34" t="s">
        <v>19</v>
      </c>
      <c r="C22" s="35" t="s">
        <v>78</v>
      </c>
      <c r="D22" s="36">
        <v>2</v>
      </c>
      <c r="E22" s="36" t="s">
        <v>10</v>
      </c>
      <c r="F22" s="36" t="s">
        <v>20</v>
      </c>
      <c r="G22" s="36" t="s">
        <v>17</v>
      </c>
      <c r="H22" s="24">
        <f t="shared" si="1"/>
        <v>1.01</v>
      </c>
      <c r="I22" s="24">
        <v>7</v>
      </c>
      <c r="J22" s="27">
        <v>6.6178999999999997</v>
      </c>
      <c r="K22" s="37">
        <v>19.77</v>
      </c>
      <c r="L22" s="38">
        <v>46173</v>
      </c>
      <c r="M22" s="12">
        <v>0.09</v>
      </c>
      <c r="N22" s="11">
        <f>_xlfn.XLOOKUP(E22,ICMS!C:C,ICMS!D:D)</f>
        <v>0.15</v>
      </c>
      <c r="O22" s="36">
        <f t="shared" si="0"/>
        <v>21</v>
      </c>
      <c r="P22" s="10"/>
      <c r="Q22" s="10" t="s">
        <v>139</v>
      </c>
      <c r="R22" s="28" t="s">
        <v>143</v>
      </c>
      <c r="S22" s="26" t="s">
        <v>162</v>
      </c>
    </row>
    <row r="23" spans="1:19" x14ac:dyDescent="0.3">
      <c r="A23" s="33" t="s">
        <v>18</v>
      </c>
      <c r="B23" s="34" t="s">
        <v>19</v>
      </c>
      <c r="C23" s="35" t="s">
        <v>78</v>
      </c>
      <c r="D23" s="36">
        <v>3</v>
      </c>
      <c r="E23" s="36" t="s">
        <v>10</v>
      </c>
      <c r="F23" s="36" t="s">
        <v>20</v>
      </c>
      <c r="G23" s="36" t="s">
        <v>17</v>
      </c>
      <c r="H23" s="24">
        <f t="shared" si="1"/>
        <v>7.01</v>
      </c>
      <c r="I23" s="24">
        <v>16</v>
      </c>
      <c r="J23" s="27">
        <v>6.4249999999999998</v>
      </c>
      <c r="K23" s="37">
        <v>21.32</v>
      </c>
      <c r="L23" s="38">
        <v>46173</v>
      </c>
      <c r="M23" s="12">
        <v>0.09</v>
      </c>
      <c r="N23" s="11">
        <f>_xlfn.XLOOKUP(E23,ICMS!C:C,ICMS!D:D)</f>
        <v>0.15</v>
      </c>
      <c r="O23" s="36">
        <f t="shared" si="0"/>
        <v>22</v>
      </c>
      <c r="P23" s="10"/>
      <c r="Q23" s="10" t="s">
        <v>139</v>
      </c>
      <c r="R23" s="28" t="s">
        <v>143</v>
      </c>
      <c r="S23" s="26" t="s">
        <v>162</v>
      </c>
    </row>
    <row r="24" spans="1:19" x14ac:dyDescent="0.3">
      <c r="A24" s="33" t="s">
        <v>18</v>
      </c>
      <c r="B24" s="34" t="s">
        <v>19</v>
      </c>
      <c r="C24" s="35" t="s">
        <v>78</v>
      </c>
      <c r="D24" s="36">
        <v>4</v>
      </c>
      <c r="E24" s="36" t="s">
        <v>10</v>
      </c>
      <c r="F24" s="36" t="s">
        <v>20</v>
      </c>
      <c r="G24" s="36" t="s">
        <v>17</v>
      </c>
      <c r="H24" s="24">
        <f t="shared" si="1"/>
        <v>16.010000000000002</v>
      </c>
      <c r="I24" s="24">
        <v>41</v>
      </c>
      <c r="J24" s="27">
        <v>6.2942</v>
      </c>
      <c r="K24" s="37">
        <v>23.75</v>
      </c>
      <c r="L24" s="38">
        <v>46173</v>
      </c>
      <c r="M24" s="12">
        <v>0.09</v>
      </c>
      <c r="N24" s="11">
        <f>_xlfn.XLOOKUP(E24,ICMS!C:C,ICMS!D:D)</f>
        <v>0.15</v>
      </c>
      <c r="O24" s="36">
        <f t="shared" si="0"/>
        <v>23</v>
      </c>
      <c r="P24" s="10"/>
      <c r="Q24" s="10" t="s">
        <v>139</v>
      </c>
      <c r="R24" s="28" t="s">
        <v>143</v>
      </c>
      <c r="S24" s="26" t="s">
        <v>162</v>
      </c>
    </row>
    <row r="25" spans="1:19" x14ac:dyDescent="0.3">
      <c r="A25" s="33" t="s">
        <v>18</v>
      </c>
      <c r="B25" s="34" t="s">
        <v>19</v>
      </c>
      <c r="C25" s="35" t="s">
        <v>78</v>
      </c>
      <c r="D25" s="36">
        <v>5</v>
      </c>
      <c r="E25" s="36" t="s">
        <v>10</v>
      </c>
      <c r="F25" s="36" t="s">
        <v>20</v>
      </c>
      <c r="G25" s="36" t="s">
        <v>17</v>
      </c>
      <c r="H25" s="24">
        <f t="shared" si="1"/>
        <v>41.01</v>
      </c>
      <c r="I25" s="24">
        <v>99999999999</v>
      </c>
      <c r="J25" s="27">
        <v>6.2762000000000002</v>
      </c>
      <c r="K25" s="37">
        <v>24.53</v>
      </c>
      <c r="L25" s="38">
        <v>46173</v>
      </c>
      <c r="M25" s="12">
        <v>0.09</v>
      </c>
      <c r="N25" s="11">
        <f>_xlfn.XLOOKUP(E25,ICMS!C:C,ICMS!D:D)</f>
        <v>0.15</v>
      </c>
      <c r="O25" s="36">
        <f t="shared" si="0"/>
        <v>24</v>
      </c>
      <c r="P25" s="10"/>
      <c r="Q25" s="10" t="s">
        <v>139</v>
      </c>
      <c r="R25" s="28" t="s">
        <v>143</v>
      </c>
      <c r="S25" s="26" t="s">
        <v>162</v>
      </c>
    </row>
    <row r="26" spans="1:19" x14ac:dyDescent="0.3">
      <c r="A26" s="33" t="s">
        <v>8</v>
      </c>
      <c r="B26" s="34" t="s">
        <v>19</v>
      </c>
      <c r="C26" s="35" t="s">
        <v>78</v>
      </c>
      <c r="D26" s="36">
        <v>1</v>
      </c>
      <c r="E26" s="36" t="s">
        <v>10</v>
      </c>
      <c r="F26" s="36" t="s">
        <v>20</v>
      </c>
      <c r="G26" s="36" t="s">
        <v>12</v>
      </c>
      <c r="H26" s="24">
        <v>0</v>
      </c>
      <c r="I26" s="24">
        <v>100</v>
      </c>
      <c r="J26" s="27">
        <v>6.8116000000000003</v>
      </c>
      <c r="K26" s="37">
        <v>32.880000000000003</v>
      </c>
      <c r="L26" s="38">
        <v>46173</v>
      </c>
      <c r="M26" s="12">
        <v>0.09</v>
      </c>
      <c r="N26" s="11">
        <f>_xlfn.XLOOKUP(E26,ICMS!C:C,ICMS!D:D)</f>
        <v>0.15</v>
      </c>
      <c r="O26" s="36">
        <f t="shared" si="0"/>
        <v>25</v>
      </c>
      <c r="P26" s="10"/>
      <c r="Q26" s="10" t="s">
        <v>139</v>
      </c>
      <c r="R26" s="28" t="s">
        <v>143</v>
      </c>
      <c r="S26" s="26" t="s">
        <v>162</v>
      </c>
    </row>
    <row r="27" spans="1:19" x14ac:dyDescent="0.3">
      <c r="A27" s="33" t="s">
        <v>8</v>
      </c>
      <c r="B27" s="34" t="s">
        <v>19</v>
      </c>
      <c r="C27" s="35" t="s">
        <v>78</v>
      </c>
      <c r="D27" s="36">
        <v>2</v>
      </c>
      <c r="E27" s="36" t="s">
        <v>10</v>
      </c>
      <c r="F27" s="36" t="s">
        <v>20</v>
      </c>
      <c r="G27" s="36" t="s">
        <v>12</v>
      </c>
      <c r="H27" s="24">
        <f>I26+0.01</f>
        <v>100.01</v>
      </c>
      <c r="I27" s="24">
        <v>300</v>
      </c>
      <c r="J27" s="27">
        <v>6.4161000000000001</v>
      </c>
      <c r="K27" s="37">
        <v>49.32</v>
      </c>
      <c r="L27" s="38">
        <v>46173</v>
      </c>
      <c r="M27" s="12">
        <v>0.09</v>
      </c>
      <c r="N27" s="11">
        <f>_xlfn.XLOOKUP(E27,ICMS!C:C,ICMS!D:D)</f>
        <v>0.15</v>
      </c>
      <c r="O27" s="36">
        <f t="shared" si="0"/>
        <v>26</v>
      </c>
      <c r="P27" s="10"/>
      <c r="Q27" s="10" t="s">
        <v>139</v>
      </c>
      <c r="R27" s="28" t="s">
        <v>143</v>
      </c>
      <c r="S27" s="26" t="s">
        <v>162</v>
      </c>
    </row>
    <row r="28" spans="1:19" x14ac:dyDescent="0.3">
      <c r="A28" s="33" t="s">
        <v>8</v>
      </c>
      <c r="B28" s="34" t="s">
        <v>19</v>
      </c>
      <c r="C28" s="35" t="s">
        <v>78</v>
      </c>
      <c r="D28" s="36">
        <v>3</v>
      </c>
      <c r="E28" s="36" t="s">
        <v>10</v>
      </c>
      <c r="F28" s="36" t="s">
        <v>20</v>
      </c>
      <c r="G28" s="36" t="s">
        <v>12</v>
      </c>
      <c r="H28" s="24">
        <f>I27+0.01</f>
        <v>300.01</v>
      </c>
      <c r="I28" s="24">
        <v>99999999999</v>
      </c>
      <c r="J28" s="27">
        <v>6.2161999999999997</v>
      </c>
      <c r="K28" s="37">
        <v>98.64</v>
      </c>
      <c r="L28" s="38">
        <v>46173</v>
      </c>
      <c r="M28" s="12">
        <v>0.09</v>
      </c>
      <c r="N28" s="11">
        <f>_xlfn.XLOOKUP(E28,ICMS!C:C,ICMS!D:D)</f>
        <v>0.15</v>
      </c>
      <c r="O28" s="36">
        <f t="shared" si="0"/>
        <v>27</v>
      </c>
      <c r="P28" s="10"/>
      <c r="Q28" s="10" t="s">
        <v>139</v>
      </c>
      <c r="R28" s="28" t="s">
        <v>143</v>
      </c>
      <c r="S28" s="26" t="s">
        <v>162</v>
      </c>
    </row>
    <row r="29" spans="1:19" x14ac:dyDescent="0.3">
      <c r="A29" s="33" t="s">
        <v>13</v>
      </c>
      <c r="B29" s="34" t="s">
        <v>19</v>
      </c>
      <c r="C29" s="35" t="s">
        <v>78</v>
      </c>
      <c r="D29" s="36">
        <v>1</v>
      </c>
      <c r="E29" s="36" t="s">
        <v>10</v>
      </c>
      <c r="F29" s="36" t="s">
        <v>20</v>
      </c>
      <c r="G29" s="36" t="s">
        <v>14</v>
      </c>
      <c r="H29" s="24">
        <v>0</v>
      </c>
      <c r="I29" s="24">
        <v>150</v>
      </c>
      <c r="J29" s="27">
        <v>7.0357000000000003</v>
      </c>
      <c r="K29" s="37">
        <v>67.23</v>
      </c>
      <c r="L29" s="38">
        <v>46173</v>
      </c>
      <c r="M29" s="12">
        <v>0.09</v>
      </c>
      <c r="N29" s="11">
        <f>_xlfn.XLOOKUP(E29,ICMS!C:C,ICMS!D:D)</f>
        <v>0.15</v>
      </c>
      <c r="O29" s="36">
        <f t="shared" si="0"/>
        <v>28</v>
      </c>
      <c r="P29" s="10"/>
      <c r="Q29" s="10" t="s">
        <v>139</v>
      </c>
      <c r="R29" s="28" t="s">
        <v>143</v>
      </c>
      <c r="S29" s="26" t="s">
        <v>162</v>
      </c>
    </row>
    <row r="30" spans="1:19" x14ac:dyDescent="0.3">
      <c r="A30" s="33" t="s">
        <v>13</v>
      </c>
      <c r="B30" s="34" t="s">
        <v>19</v>
      </c>
      <c r="C30" s="35" t="s">
        <v>78</v>
      </c>
      <c r="D30" s="36">
        <v>2</v>
      </c>
      <c r="E30" s="36" t="s">
        <v>10</v>
      </c>
      <c r="F30" s="36" t="s">
        <v>20</v>
      </c>
      <c r="G30" s="36" t="s">
        <v>14</v>
      </c>
      <c r="H30" s="24">
        <f t="shared" ref="H30:H103" si="2">I29+0.01</f>
        <v>150.01</v>
      </c>
      <c r="I30" s="24">
        <v>300</v>
      </c>
      <c r="J30" s="27">
        <v>6.3634000000000004</v>
      </c>
      <c r="K30" s="37">
        <v>105.06</v>
      </c>
      <c r="L30" s="38">
        <v>46173</v>
      </c>
      <c r="M30" s="12">
        <v>0.09</v>
      </c>
      <c r="N30" s="11">
        <f>_xlfn.XLOOKUP(E30,ICMS!C:C,ICMS!D:D)</f>
        <v>0.15</v>
      </c>
      <c r="O30" s="36">
        <f t="shared" si="0"/>
        <v>29</v>
      </c>
      <c r="P30" s="10"/>
      <c r="Q30" s="10" t="s">
        <v>139</v>
      </c>
      <c r="R30" s="28" t="s">
        <v>143</v>
      </c>
      <c r="S30" s="26" t="s">
        <v>162</v>
      </c>
    </row>
    <row r="31" spans="1:19" x14ac:dyDescent="0.3">
      <c r="A31" s="33" t="s">
        <v>13</v>
      </c>
      <c r="B31" s="34" t="s">
        <v>19</v>
      </c>
      <c r="C31" s="35" t="s">
        <v>78</v>
      </c>
      <c r="D31" s="36">
        <v>3</v>
      </c>
      <c r="E31" s="36" t="s">
        <v>10</v>
      </c>
      <c r="F31" s="36" t="s">
        <v>20</v>
      </c>
      <c r="G31" s="36" t="s">
        <v>14</v>
      </c>
      <c r="H31" s="24">
        <f t="shared" si="2"/>
        <v>300.01</v>
      </c>
      <c r="I31" s="24">
        <v>1000</v>
      </c>
      <c r="J31" s="27">
        <v>5.6249000000000002</v>
      </c>
      <c r="K31" s="37">
        <v>450.46</v>
      </c>
      <c r="L31" s="38">
        <v>46173</v>
      </c>
      <c r="M31" s="12">
        <v>0.09</v>
      </c>
      <c r="N31" s="11">
        <f>_xlfn.XLOOKUP(E31,ICMS!C:C,ICMS!D:D)</f>
        <v>0.15</v>
      </c>
      <c r="O31" s="36">
        <f t="shared" si="0"/>
        <v>30</v>
      </c>
      <c r="P31" s="10"/>
      <c r="Q31" s="10" t="s">
        <v>139</v>
      </c>
      <c r="R31" s="28" t="s">
        <v>143</v>
      </c>
      <c r="S31" s="26" t="s">
        <v>162</v>
      </c>
    </row>
    <row r="32" spans="1:19" x14ac:dyDescent="0.3">
      <c r="A32" s="33" t="s">
        <v>13</v>
      </c>
      <c r="B32" s="34" t="s">
        <v>19</v>
      </c>
      <c r="C32" s="35" t="s">
        <v>78</v>
      </c>
      <c r="D32" s="36">
        <v>4</v>
      </c>
      <c r="E32" s="36" t="s">
        <v>10</v>
      </c>
      <c r="F32" s="36" t="s">
        <v>20</v>
      </c>
      <c r="G32" s="36" t="s">
        <v>14</v>
      </c>
      <c r="H32" s="24">
        <f t="shared" si="2"/>
        <v>1000.01</v>
      </c>
      <c r="I32" s="24">
        <v>3000</v>
      </c>
      <c r="J32" s="27">
        <v>4.5145999999999997</v>
      </c>
      <c r="K32" s="37">
        <v>1801.81</v>
      </c>
      <c r="L32" s="38">
        <v>46173</v>
      </c>
      <c r="M32" s="12">
        <v>0.09</v>
      </c>
      <c r="N32" s="11">
        <f>_xlfn.XLOOKUP(E32,ICMS!C:C,ICMS!D:D)</f>
        <v>0.15</v>
      </c>
      <c r="O32" s="36">
        <f t="shared" si="0"/>
        <v>31</v>
      </c>
      <c r="P32" s="10"/>
      <c r="Q32" s="10" t="s">
        <v>139</v>
      </c>
      <c r="R32" s="28" t="s">
        <v>143</v>
      </c>
      <c r="S32" s="26" t="s">
        <v>162</v>
      </c>
    </row>
    <row r="33" spans="1:19" x14ac:dyDescent="0.3">
      <c r="A33" s="33" t="s">
        <v>13</v>
      </c>
      <c r="B33" s="34" t="s">
        <v>19</v>
      </c>
      <c r="C33" s="35" t="s">
        <v>78</v>
      </c>
      <c r="D33" s="36">
        <v>5</v>
      </c>
      <c r="E33" s="36" t="s">
        <v>10</v>
      </c>
      <c r="F33" s="36" t="s">
        <v>20</v>
      </c>
      <c r="G33" s="36" t="s">
        <v>14</v>
      </c>
      <c r="H33" s="24">
        <f>I31+0.01</f>
        <v>1000.01</v>
      </c>
      <c r="I33" s="24">
        <v>99999999999</v>
      </c>
      <c r="J33" s="27">
        <v>4.2046999999999999</v>
      </c>
      <c r="K33" s="37">
        <v>4370.43</v>
      </c>
      <c r="L33" s="38">
        <v>46173</v>
      </c>
      <c r="M33" s="12">
        <v>0.09</v>
      </c>
      <c r="N33" s="11">
        <f>_xlfn.XLOOKUP(E33,ICMS!C:C,ICMS!D:D)</f>
        <v>0.15</v>
      </c>
      <c r="O33" s="36">
        <f t="shared" si="0"/>
        <v>32</v>
      </c>
      <c r="P33" s="10"/>
      <c r="Q33" s="10" t="s">
        <v>139</v>
      </c>
      <c r="R33" s="28" t="s">
        <v>143</v>
      </c>
      <c r="S33" s="26" t="s">
        <v>162</v>
      </c>
    </row>
    <row r="34" spans="1:19" x14ac:dyDescent="0.3">
      <c r="A34" s="33" t="s">
        <v>15</v>
      </c>
      <c r="B34" s="34" t="s">
        <v>19</v>
      </c>
      <c r="C34" s="35" t="s">
        <v>78</v>
      </c>
      <c r="D34" s="36">
        <v>1</v>
      </c>
      <c r="E34" s="36" t="s">
        <v>10</v>
      </c>
      <c r="F34" s="36" t="s">
        <v>20</v>
      </c>
      <c r="G34" s="36" t="s">
        <v>21</v>
      </c>
      <c r="H34" s="24">
        <v>0</v>
      </c>
      <c r="I34" s="24">
        <v>5000</v>
      </c>
      <c r="J34" s="27">
        <v>6.3258999999999999</v>
      </c>
      <c r="K34" s="37">
        <v>573.69000000000005</v>
      </c>
      <c r="L34" s="38">
        <v>46173</v>
      </c>
      <c r="M34" s="12">
        <v>0.09</v>
      </c>
      <c r="N34" s="11">
        <f>_xlfn.XLOOKUP(E34,ICMS!C:C,ICMS!D:D)</f>
        <v>0.15</v>
      </c>
      <c r="O34" s="36">
        <f t="shared" si="0"/>
        <v>33</v>
      </c>
      <c r="P34" s="10"/>
      <c r="Q34" s="10" t="s">
        <v>139</v>
      </c>
      <c r="R34" s="28" t="s">
        <v>143</v>
      </c>
      <c r="S34" s="26" t="s">
        <v>162</v>
      </c>
    </row>
    <row r="35" spans="1:19" x14ac:dyDescent="0.3">
      <c r="A35" s="33" t="s">
        <v>15</v>
      </c>
      <c r="B35" s="34" t="s">
        <v>19</v>
      </c>
      <c r="C35" s="35" t="s">
        <v>78</v>
      </c>
      <c r="D35" s="36">
        <v>2</v>
      </c>
      <c r="E35" s="36" t="s">
        <v>10</v>
      </c>
      <c r="F35" s="36" t="s">
        <v>20</v>
      </c>
      <c r="G35" s="36" t="s">
        <v>21</v>
      </c>
      <c r="H35" s="24">
        <f t="shared" si="2"/>
        <v>5000.01</v>
      </c>
      <c r="I35" s="24">
        <v>50000</v>
      </c>
      <c r="J35" s="27">
        <v>4.2828999999999997</v>
      </c>
      <c r="K35" s="37">
        <v>11476.17</v>
      </c>
      <c r="L35" s="38">
        <v>46173</v>
      </c>
      <c r="M35" s="12">
        <v>0.09</v>
      </c>
      <c r="N35" s="11">
        <f>_xlfn.XLOOKUP(E35,ICMS!C:C,ICMS!D:D)</f>
        <v>0.15</v>
      </c>
      <c r="O35" s="36">
        <f t="shared" si="0"/>
        <v>34</v>
      </c>
      <c r="P35" s="10"/>
      <c r="Q35" s="10" t="s">
        <v>139</v>
      </c>
      <c r="R35" s="28" t="s">
        <v>143</v>
      </c>
      <c r="S35" s="26" t="s">
        <v>162</v>
      </c>
    </row>
    <row r="36" spans="1:19" x14ac:dyDescent="0.3">
      <c r="A36" s="33" t="s">
        <v>15</v>
      </c>
      <c r="B36" s="34" t="s">
        <v>19</v>
      </c>
      <c r="C36" s="35" t="s">
        <v>78</v>
      </c>
      <c r="D36" s="36">
        <v>3</v>
      </c>
      <c r="E36" s="36" t="s">
        <v>10</v>
      </c>
      <c r="F36" s="36" t="s">
        <v>20</v>
      </c>
      <c r="G36" s="36" t="s">
        <v>21</v>
      </c>
      <c r="H36" s="24">
        <f t="shared" si="2"/>
        <v>50000.01</v>
      </c>
      <c r="I36" s="24">
        <v>300000</v>
      </c>
      <c r="J36" s="27">
        <v>3.3744999999999998</v>
      </c>
      <c r="K36" s="37">
        <v>53176.14</v>
      </c>
      <c r="L36" s="38">
        <v>46173</v>
      </c>
      <c r="M36" s="12">
        <v>0.09</v>
      </c>
      <c r="N36" s="11">
        <f>_xlfn.XLOOKUP(E36,ICMS!C:C,ICMS!D:D)</f>
        <v>0.15</v>
      </c>
      <c r="O36" s="36">
        <f t="shared" si="0"/>
        <v>35</v>
      </c>
      <c r="P36" s="10"/>
      <c r="Q36" s="10" t="s">
        <v>139</v>
      </c>
      <c r="R36" s="28" t="s">
        <v>143</v>
      </c>
      <c r="S36" s="26" t="s">
        <v>162</v>
      </c>
    </row>
    <row r="37" spans="1:19" x14ac:dyDescent="0.3">
      <c r="A37" s="33" t="s">
        <v>15</v>
      </c>
      <c r="B37" s="34" t="s">
        <v>19</v>
      </c>
      <c r="C37" s="35" t="s">
        <v>78</v>
      </c>
      <c r="D37" s="36">
        <v>4</v>
      </c>
      <c r="E37" s="36" t="s">
        <v>10</v>
      </c>
      <c r="F37" s="36" t="s">
        <v>20</v>
      </c>
      <c r="G37" s="36" t="s">
        <v>21</v>
      </c>
      <c r="H37" s="24">
        <f t="shared" si="2"/>
        <v>300000.01</v>
      </c>
      <c r="I37" s="24">
        <v>500000</v>
      </c>
      <c r="J37" s="27">
        <v>3.1406999999999998</v>
      </c>
      <c r="K37" s="37">
        <v>138253.35999999999</v>
      </c>
      <c r="L37" s="38">
        <v>46173</v>
      </c>
      <c r="M37" s="12">
        <v>0.09</v>
      </c>
      <c r="N37" s="11">
        <f>_xlfn.XLOOKUP(E37,ICMS!C:C,ICMS!D:D)</f>
        <v>0.15</v>
      </c>
      <c r="O37" s="36">
        <f t="shared" si="0"/>
        <v>36</v>
      </c>
      <c r="P37" s="10"/>
      <c r="Q37" s="10" t="s">
        <v>139</v>
      </c>
      <c r="R37" s="28" t="s">
        <v>143</v>
      </c>
      <c r="S37" s="26" t="s">
        <v>162</v>
      </c>
    </row>
    <row r="38" spans="1:19" x14ac:dyDescent="0.3">
      <c r="A38" s="33" t="s">
        <v>15</v>
      </c>
      <c r="B38" s="34" t="s">
        <v>19</v>
      </c>
      <c r="C38" s="35" t="s">
        <v>78</v>
      </c>
      <c r="D38" s="36">
        <v>5</v>
      </c>
      <c r="E38" s="36" t="s">
        <v>10</v>
      </c>
      <c r="F38" s="36" t="s">
        <v>20</v>
      </c>
      <c r="G38" s="36" t="s">
        <v>21</v>
      </c>
      <c r="H38" s="24">
        <f t="shared" si="2"/>
        <v>500000.01</v>
      </c>
      <c r="I38" s="24">
        <v>2000000</v>
      </c>
      <c r="J38" s="27">
        <v>2.9094000000000002</v>
      </c>
      <c r="K38" s="37">
        <v>152827.10999999999</v>
      </c>
      <c r="L38" s="38">
        <v>46173</v>
      </c>
      <c r="M38" s="12">
        <v>0.09</v>
      </c>
      <c r="N38" s="11">
        <f>_xlfn.XLOOKUP(E38,ICMS!C:C,ICMS!D:D)</f>
        <v>0.15</v>
      </c>
      <c r="O38" s="36">
        <f t="shared" si="0"/>
        <v>37</v>
      </c>
      <c r="P38" s="10"/>
      <c r="Q38" s="10" t="s">
        <v>139</v>
      </c>
      <c r="R38" s="28" t="s">
        <v>143</v>
      </c>
      <c r="S38" s="26" t="s">
        <v>162</v>
      </c>
    </row>
    <row r="39" spans="1:19" x14ac:dyDescent="0.3">
      <c r="A39" s="33" t="s">
        <v>15</v>
      </c>
      <c r="B39" s="34" t="s">
        <v>19</v>
      </c>
      <c r="C39" s="35" t="s">
        <v>78</v>
      </c>
      <c r="D39" s="36">
        <v>6</v>
      </c>
      <c r="E39" s="36" t="s">
        <v>10</v>
      </c>
      <c r="F39" s="36" t="s">
        <v>20</v>
      </c>
      <c r="G39" s="36" t="s">
        <v>21</v>
      </c>
      <c r="H39" s="24">
        <f t="shared" si="2"/>
        <v>2000000.01</v>
      </c>
      <c r="I39" s="24">
        <v>5000000</v>
      </c>
      <c r="J39" s="27">
        <v>2.8248000000000002</v>
      </c>
      <c r="K39" s="37">
        <v>164528.82</v>
      </c>
      <c r="L39" s="38">
        <v>46173</v>
      </c>
      <c r="M39" s="12">
        <v>0.09</v>
      </c>
      <c r="N39" s="11">
        <f>_xlfn.XLOOKUP(E39,ICMS!C:C,ICMS!D:D)</f>
        <v>0.15</v>
      </c>
      <c r="O39" s="36">
        <f t="shared" si="0"/>
        <v>38</v>
      </c>
      <c r="P39" s="10"/>
      <c r="Q39" s="10" t="s">
        <v>139</v>
      </c>
      <c r="R39" s="28" t="s">
        <v>143</v>
      </c>
      <c r="S39" s="26" t="s">
        <v>162</v>
      </c>
    </row>
    <row r="40" spans="1:19" x14ac:dyDescent="0.3">
      <c r="A40" s="33" t="s">
        <v>15</v>
      </c>
      <c r="B40" s="34" t="s">
        <v>19</v>
      </c>
      <c r="C40" s="35" t="s">
        <v>78</v>
      </c>
      <c r="D40" s="36">
        <v>7</v>
      </c>
      <c r="E40" s="36" t="s">
        <v>10</v>
      </c>
      <c r="F40" s="36" t="s">
        <v>20</v>
      </c>
      <c r="G40" s="36" t="s">
        <v>21</v>
      </c>
      <c r="H40" s="24">
        <f t="shared" si="2"/>
        <v>5000000.01</v>
      </c>
      <c r="I40" s="24">
        <v>10000000</v>
      </c>
      <c r="J40" s="27">
        <v>2.7652999999999999</v>
      </c>
      <c r="K40" s="37">
        <v>210708.77</v>
      </c>
      <c r="L40" s="38">
        <v>46173</v>
      </c>
      <c r="M40" s="12">
        <v>0.09</v>
      </c>
      <c r="N40" s="11">
        <f>_xlfn.XLOOKUP(E40,ICMS!C:C,ICMS!D:D)</f>
        <v>0.15</v>
      </c>
      <c r="O40" s="36">
        <f t="shared" si="0"/>
        <v>39</v>
      </c>
      <c r="P40" s="10"/>
      <c r="Q40" s="10" t="s">
        <v>139</v>
      </c>
      <c r="R40" s="28" t="s">
        <v>143</v>
      </c>
      <c r="S40" s="26" t="s">
        <v>162</v>
      </c>
    </row>
    <row r="41" spans="1:19" x14ac:dyDescent="0.3">
      <c r="A41" s="33" t="s">
        <v>15</v>
      </c>
      <c r="B41" s="34" t="s">
        <v>19</v>
      </c>
      <c r="C41" s="35" t="s">
        <v>78</v>
      </c>
      <c r="D41" s="36">
        <v>8</v>
      </c>
      <c r="E41" s="36" t="s">
        <v>10</v>
      </c>
      <c r="F41" s="36" t="s">
        <v>20</v>
      </c>
      <c r="G41" s="36" t="s">
        <v>21</v>
      </c>
      <c r="H41" s="24">
        <f t="shared" si="2"/>
        <v>10000000.01</v>
      </c>
      <c r="I41" s="24">
        <v>99999999999</v>
      </c>
      <c r="J41" s="27">
        <v>2.6457000000000002</v>
      </c>
      <c r="K41" s="37">
        <v>235476.06</v>
      </c>
      <c r="L41" s="38">
        <v>46173</v>
      </c>
      <c r="M41" s="12">
        <v>0.09</v>
      </c>
      <c r="N41" s="11">
        <f>_xlfn.XLOOKUP(E41,ICMS!C:C,ICMS!D:D)</f>
        <v>0.15</v>
      </c>
      <c r="O41" s="36">
        <f t="shared" si="0"/>
        <v>40</v>
      </c>
      <c r="P41" s="10"/>
      <c r="Q41" s="10" t="s">
        <v>139</v>
      </c>
      <c r="R41" s="28" t="s">
        <v>143</v>
      </c>
      <c r="S41" s="26" t="s">
        <v>162</v>
      </c>
    </row>
    <row r="42" spans="1:19" x14ac:dyDescent="0.3">
      <c r="A42" s="33" t="s">
        <v>18</v>
      </c>
      <c r="B42" s="34" t="s">
        <v>24</v>
      </c>
      <c r="C42" s="35" t="s">
        <v>78</v>
      </c>
      <c r="D42" s="36">
        <v>1</v>
      </c>
      <c r="E42" s="36" t="s">
        <v>10</v>
      </c>
      <c r="F42" s="36" t="s">
        <v>25</v>
      </c>
      <c r="G42" s="36" t="s">
        <v>17</v>
      </c>
      <c r="H42" s="24">
        <v>0</v>
      </c>
      <c r="I42" s="24">
        <v>6</v>
      </c>
      <c r="J42" s="27">
        <v>3.9260000000000002</v>
      </c>
      <c r="K42" s="37">
        <v>31.03</v>
      </c>
      <c r="L42" s="38">
        <v>46183</v>
      </c>
      <c r="M42" s="12">
        <v>9.2399999999999996E-2</v>
      </c>
      <c r="N42" s="11">
        <f>_xlfn.XLOOKUP(E42,ICMS!C:C,ICMS!D:D)</f>
        <v>0.15</v>
      </c>
      <c r="O42" s="36">
        <f t="shared" si="0"/>
        <v>41</v>
      </c>
      <c r="P42" s="10"/>
      <c r="Q42" s="10" t="s">
        <v>139</v>
      </c>
      <c r="R42" s="28" t="s">
        <v>144</v>
      </c>
      <c r="S42" s="26" t="s">
        <v>161</v>
      </c>
    </row>
    <row r="43" spans="1:19" x14ac:dyDescent="0.3">
      <c r="A43" s="33" t="s">
        <v>18</v>
      </c>
      <c r="B43" s="34" t="s">
        <v>24</v>
      </c>
      <c r="C43" s="35" t="s">
        <v>78</v>
      </c>
      <c r="D43" s="36">
        <v>2</v>
      </c>
      <c r="E43" s="36" t="s">
        <v>10</v>
      </c>
      <c r="F43" s="36" t="s">
        <v>25</v>
      </c>
      <c r="G43" s="36" t="s">
        <v>17</v>
      </c>
      <c r="H43" s="24">
        <f t="shared" si="2"/>
        <v>6.01</v>
      </c>
      <c r="I43" s="24">
        <v>99999999999</v>
      </c>
      <c r="J43" s="27">
        <v>9.0150000000000006</v>
      </c>
      <c r="K43" s="37">
        <v>0</v>
      </c>
      <c r="L43" s="38">
        <v>46183</v>
      </c>
      <c r="M43" s="12">
        <v>9.2399999999999996E-2</v>
      </c>
      <c r="N43" s="11">
        <f>_xlfn.XLOOKUP(E43,ICMS!C:C,ICMS!D:D)</f>
        <v>0.15</v>
      </c>
      <c r="O43" s="36">
        <f t="shared" si="0"/>
        <v>42</v>
      </c>
      <c r="P43" s="10"/>
      <c r="Q43" s="10" t="s">
        <v>139</v>
      </c>
      <c r="R43" s="28" t="s">
        <v>144</v>
      </c>
      <c r="S43" s="26" t="s">
        <v>161</v>
      </c>
    </row>
    <row r="44" spans="1:19" x14ac:dyDescent="0.3">
      <c r="A44" s="33" t="s">
        <v>8</v>
      </c>
      <c r="B44" s="34" t="s">
        <v>24</v>
      </c>
      <c r="C44" s="35" t="s">
        <v>78</v>
      </c>
      <c r="D44" s="36">
        <v>1</v>
      </c>
      <c r="E44" s="36" t="s">
        <v>10</v>
      </c>
      <c r="F44" s="36" t="s">
        <v>25</v>
      </c>
      <c r="G44" s="36" t="s">
        <v>12</v>
      </c>
      <c r="H44" s="24">
        <v>0</v>
      </c>
      <c r="I44" s="24">
        <v>100</v>
      </c>
      <c r="J44" s="27">
        <v>7.86</v>
      </c>
      <c r="K44" s="37">
        <v>150.72999999999999</v>
      </c>
      <c r="L44" s="38">
        <v>46183</v>
      </c>
      <c r="M44" s="12">
        <v>9.2399999999999996E-2</v>
      </c>
      <c r="N44" s="11">
        <f>_xlfn.XLOOKUP(E44,ICMS!C:C,ICMS!D:D)</f>
        <v>0.15</v>
      </c>
      <c r="O44" s="36">
        <f t="shared" si="0"/>
        <v>43</v>
      </c>
      <c r="P44" s="10"/>
      <c r="Q44" s="10" t="s">
        <v>139</v>
      </c>
      <c r="R44" s="28" t="s">
        <v>144</v>
      </c>
      <c r="S44" s="26" t="s">
        <v>161</v>
      </c>
    </row>
    <row r="45" spans="1:19" x14ac:dyDescent="0.3">
      <c r="A45" s="33" t="s">
        <v>8</v>
      </c>
      <c r="B45" s="34" t="s">
        <v>24</v>
      </c>
      <c r="C45" s="35" t="s">
        <v>78</v>
      </c>
      <c r="D45" s="36">
        <v>2</v>
      </c>
      <c r="E45" s="36" t="s">
        <v>10</v>
      </c>
      <c r="F45" s="36" t="s">
        <v>25</v>
      </c>
      <c r="G45" s="36" t="s">
        <v>12</v>
      </c>
      <c r="H45" s="24">
        <f t="shared" si="2"/>
        <v>100.01</v>
      </c>
      <c r="I45" s="24">
        <v>300</v>
      </c>
      <c r="J45" s="27">
        <v>7.59</v>
      </c>
      <c r="K45" s="37">
        <v>177.65</v>
      </c>
      <c r="L45" s="38">
        <v>46183</v>
      </c>
      <c r="M45" s="12">
        <v>9.2399999999999996E-2</v>
      </c>
      <c r="N45" s="11">
        <f>_xlfn.XLOOKUP(E45,ICMS!C:C,ICMS!D:D)</f>
        <v>0.15</v>
      </c>
      <c r="O45" s="36">
        <f t="shared" si="0"/>
        <v>44</v>
      </c>
      <c r="P45" s="10"/>
      <c r="Q45" s="10" t="s">
        <v>139</v>
      </c>
      <c r="R45" s="28" t="s">
        <v>144</v>
      </c>
      <c r="S45" s="26" t="s">
        <v>161</v>
      </c>
    </row>
    <row r="46" spans="1:19" x14ac:dyDescent="0.3">
      <c r="A46" s="33" t="s">
        <v>8</v>
      </c>
      <c r="B46" s="34" t="s">
        <v>24</v>
      </c>
      <c r="C46" s="35" t="s">
        <v>78</v>
      </c>
      <c r="D46" s="36">
        <v>3</v>
      </c>
      <c r="E46" s="36" t="s">
        <v>10</v>
      </c>
      <c r="F46" s="36" t="s">
        <v>25</v>
      </c>
      <c r="G46" s="36" t="s">
        <v>12</v>
      </c>
      <c r="H46" s="24">
        <f t="shared" si="2"/>
        <v>300.01</v>
      </c>
      <c r="I46" s="24">
        <v>99999999999</v>
      </c>
      <c r="J46" s="27">
        <v>7.33</v>
      </c>
      <c r="K46" s="37">
        <v>258.39999999999998</v>
      </c>
      <c r="L46" s="38">
        <v>46183</v>
      </c>
      <c r="M46" s="12">
        <v>9.2399999999999996E-2</v>
      </c>
      <c r="N46" s="11">
        <f>_xlfn.XLOOKUP(E46,ICMS!C:C,ICMS!D:D)</f>
        <v>0.15</v>
      </c>
      <c r="O46" s="36">
        <f t="shared" si="0"/>
        <v>45</v>
      </c>
      <c r="P46" s="10"/>
      <c r="Q46" s="10" t="s">
        <v>139</v>
      </c>
      <c r="R46" s="28" t="s">
        <v>144</v>
      </c>
      <c r="S46" s="26" t="s">
        <v>161</v>
      </c>
    </row>
    <row r="47" spans="1:19" x14ac:dyDescent="0.3">
      <c r="A47" s="33" t="s">
        <v>13</v>
      </c>
      <c r="B47" s="34" t="s">
        <v>24</v>
      </c>
      <c r="C47" s="35" t="s">
        <v>78</v>
      </c>
      <c r="D47" s="36">
        <v>1</v>
      </c>
      <c r="E47" s="36" t="s">
        <v>10</v>
      </c>
      <c r="F47" s="36" t="s">
        <v>25</v>
      </c>
      <c r="G47" s="36" t="s">
        <v>14</v>
      </c>
      <c r="H47" s="24">
        <v>0</v>
      </c>
      <c r="I47" s="24">
        <v>150</v>
      </c>
      <c r="J47" s="27">
        <v>5.94</v>
      </c>
      <c r="K47" s="37">
        <v>52.16</v>
      </c>
      <c r="L47" s="38">
        <v>46183</v>
      </c>
      <c r="M47" s="12">
        <v>9.2399999999999996E-2</v>
      </c>
      <c r="N47" s="11">
        <f>_xlfn.XLOOKUP(E47,ICMS!C:C,ICMS!D:D)</f>
        <v>0.15</v>
      </c>
      <c r="O47" s="36">
        <f t="shared" si="0"/>
        <v>46</v>
      </c>
      <c r="P47" s="10"/>
      <c r="Q47" s="10" t="s">
        <v>139</v>
      </c>
      <c r="R47" s="28" t="s">
        <v>144</v>
      </c>
      <c r="S47" s="26" t="s">
        <v>161</v>
      </c>
    </row>
    <row r="48" spans="1:19" x14ac:dyDescent="0.3">
      <c r="A48" s="33" t="s">
        <v>13</v>
      </c>
      <c r="B48" s="34" t="s">
        <v>24</v>
      </c>
      <c r="C48" s="35" t="s">
        <v>78</v>
      </c>
      <c r="D48" s="36">
        <v>2</v>
      </c>
      <c r="E48" s="36" t="s">
        <v>10</v>
      </c>
      <c r="F48" s="36" t="s">
        <v>25</v>
      </c>
      <c r="G48" s="36" t="s">
        <v>14</v>
      </c>
      <c r="H48" s="24">
        <f t="shared" si="2"/>
        <v>150.01</v>
      </c>
      <c r="I48" s="24">
        <v>300</v>
      </c>
      <c r="J48" s="27">
        <v>5.85</v>
      </c>
      <c r="K48" s="37">
        <v>68.31</v>
      </c>
      <c r="L48" s="38">
        <v>46183</v>
      </c>
      <c r="M48" s="12">
        <v>9.2399999999999996E-2</v>
      </c>
      <c r="N48" s="11">
        <f>_xlfn.XLOOKUP(E48,ICMS!C:C,ICMS!D:D)</f>
        <v>0.15</v>
      </c>
      <c r="O48" s="36">
        <f t="shared" si="0"/>
        <v>47</v>
      </c>
      <c r="P48" s="10"/>
      <c r="Q48" s="10" t="s">
        <v>139</v>
      </c>
      <c r="R48" s="28" t="s">
        <v>144</v>
      </c>
      <c r="S48" s="26" t="s">
        <v>161</v>
      </c>
    </row>
    <row r="49" spans="1:19" x14ac:dyDescent="0.3">
      <c r="A49" s="33" t="s">
        <v>13</v>
      </c>
      <c r="B49" s="34" t="s">
        <v>24</v>
      </c>
      <c r="C49" s="35" t="s">
        <v>78</v>
      </c>
      <c r="D49" s="36">
        <v>3</v>
      </c>
      <c r="E49" s="36" t="s">
        <v>10</v>
      </c>
      <c r="F49" s="36" t="s">
        <v>25</v>
      </c>
      <c r="G49" s="36" t="s">
        <v>14</v>
      </c>
      <c r="H49" s="24">
        <f t="shared" si="2"/>
        <v>300.01</v>
      </c>
      <c r="I49" s="24">
        <v>1000</v>
      </c>
      <c r="J49" s="27">
        <v>5.62</v>
      </c>
      <c r="K49" s="37">
        <v>132.91</v>
      </c>
      <c r="L49" s="38">
        <v>46183</v>
      </c>
      <c r="M49" s="12">
        <v>9.2399999999999996E-2</v>
      </c>
      <c r="N49" s="11">
        <f>_xlfn.XLOOKUP(E49,ICMS!C:C,ICMS!D:D)</f>
        <v>0.15</v>
      </c>
      <c r="O49" s="36">
        <f t="shared" si="0"/>
        <v>48</v>
      </c>
      <c r="P49" s="10"/>
      <c r="Q49" s="10" t="s">
        <v>139</v>
      </c>
      <c r="R49" s="28" t="s">
        <v>144</v>
      </c>
      <c r="S49" s="26" t="s">
        <v>161</v>
      </c>
    </row>
    <row r="50" spans="1:19" x14ac:dyDescent="0.3">
      <c r="A50" s="33" t="s">
        <v>13</v>
      </c>
      <c r="B50" s="34" t="s">
        <v>24</v>
      </c>
      <c r="C50" s="35" t="s">
        <v>78</v>
      </c>
      <c r="D50" s="36">
        <v>4</v>
      </c>
      <c r="E50" s="36" t="s">
        <v>10</v>
      </c>
      <c r="F50" s="36" t="s">
        <v>25</v>
      </c>
      <c r="G50" s="36" t="s">
        <v>14</v>
      </c>
      <c r="H50" s="24">
        <f t="shared" si="2"/>
        <v>1000.01</v>
      </c>
      <c r="I50" s="24">
        <v>3000</v>
      </c>
      <c r="J50" s="27">
        <v>5.15</v>
      </c>
      <c r="K50" s="37">
        <v>488.21</v>
      </c>
      <c r="L50" s="38">
        <v>46183</v>
      </c>
      <c r="M50" s="12">
        <v>9.2399999999999996E-2</v>
      </c>
      <c r="N50" s="11">
        <f>_xlfn.XLOOKUP(E50,ICMS!C:C,ICMS!D:D)</f>
        <v>0.15</v>
      </c>
      <c r="O50" s="36">
        <f t="shared" si="0"/>
        <v>49</v>
      </c>
      <c r="P50" s="10"/>
      <c r="Q50" s="10" t="s">
        <v>139</v>
      </c>
      <c r="R50" s="28" t="s">
        <v>144</v>
      </c>
      <c r="S50" s="26" t="s">
        <v>161</v>
      </c>
    </row>
    <row r="51" spans="1:19" x14ac:dyDescent="0.3">
      <c r="A51" s="33" t="s">
        <v>13</v>
      </c>
      <c r="B51" s="34" t="s">
        <v>24</v>
      </c>
      <c r="C51" s="35" t="s">
        <v>78</v>
      </c>
      <c r="D51" s="36">
        <v>5</v>
      </c>
      <c r="E51" s="36" t="s">
        <v>10</v>
      </c>
      <c r="F51" s="36" t="s">
        <v>25</v>
      </c>
      <c r="G51" s="36" t="s">
        <v>14</v>
      </c>
      <c r="H51" s="24">
        <f t="shared" si="2"/>
        <v>3000.01</v>
      </c>
      <c r="I51" s="24">
        <v>99999999999</v>
      </c>
      <c r="J51" s="27">
        <v>3.98</v>
      </c>
      <c r="K51" s="37">
        <v>4041.2</v>
      </c>
      <c r="L51" s="38">
        <v>46183</v>
      </c>
      <c r="M51" s="12">
        <v>9.2399999999999996E-2</v>
      </c>
      <c r="N51" s="11">
        <f>_xlfn.XLOOKUP(E51,ICMS!C:C,ICMS!D:D)</f>
        <v>0.15</v>
      </c>
      <c r="O51" s="36">
        <f t="shared" si="0"/>
        <v>50</v>
      </c>
      <c r="P51" s="10"/>
      <c r="Q51" s="10" t="s">
        <v>139</v>
      </c>
      <c r="R51" s="28" t="s">
        <v>144</v>
      </c>
      <c r="S51" s="26" t="s">
        <v>161</v>
      </c>
    </row>
    <row r="52" spans="1:19" x14ac:dyDescent="0.3">
      <c r="A52" s="33" t="s">
        <v>15</v>
      </c>
      <c r="B52" s="34" t="s">
        <v>24</v>
      </c>
      <c r="C52" s="35" t="s">
        <v>78</v>
      </c>
      <c r="D52" s="36">
        <v>1</v>
      </c>
      <c r="E52" s="36" t="s">
        <v>10</v>
      </c>
      <c r="F52" s="36" t="s">
        <v>25</v>
      </c>
      <c r="G52" s="36" t="s">
        <v>16</v>
      </c>
      <c r="H52" s="24">
        <v>0</v>
      </c>
      <c r="I52" s="24">
        <v>5000</v>
      </c>
      <c r="J52" s="27">
        <v>3.78</v>
      </c>
      <c r="K52" s="37">
        <v>499.31</v>
      </c>
      <c r="L52" s="38">
        <v>46183</v>
      </c>
      <c r="M52" s="12">
        <v>9.2399999999999996E-2</v>
      </c>
      <c r="N52" s="11">
        <f>_xlfn.XLOOKUP(E52,ICMS!C:C,ICMS!D:D)</f>
        <v>0.15</v>
      </c>
      <c r="O52" s="36">
        <f t="shared" si="0"/>
        <v>51</v>
      </c>
      <c r="P52" s="10"/>
      <c r="Q52" s="10" t="s">
        <v>139</v>
      </c>
      <c r="R52" s="28" t="s">
        <v>144</v>
      </c>
      <c r="S52" s="26" t="s">
        <v>161</v>
      </c>
    </row>
    <row r="53" spans="1:19" x14ac:dyDescent="0.3">
      <c r="A53" s="33" t="s">
        <v>15</v>
      </c>
      <c r="B53" s="34" t="s">
        <v>24</v>
      </c>
      <c r="C53" s="35" t="s">
        <v>78</v>
      </c>
      <c r="D53" s="36">
        <v>2</v>
      </c>
      <c r="E53" s="36" t="s">
        <v>10</v>
      </c>
      <c r="F53" s="36" t="s">
        <v>25</v>
      </c>
      <c r="G53" s="36" t="s">
        <v>16</v>
      </c>
      <c r="H53" s="24">
        <f t="shared" si="2"/>
        <v>5000.01</v>
      </c>
      <c r="I53" s="24">
        <v>50000</v>
      </c>
      <c r="J53" s="27">
        <v>3.62</v>
      </c>
      <c r="K53" s="37">
        <v>1306.8</v>
      </c>
      <c r="L53" s="38">
        <v>46183</v>
      </c>
      <c r="M53" s="12">
        <v>9.2399999999999996E-2</v>
      </c>
      <c r="N53" s="11">
        <f>_xlfn.XLOOKUP(E53,ICMS!C:C,ICMS!D:D)</f>
        <v>0.15</v>
      </c>
      <c r="O53" s="36">
        <f t="shared" si="0"/>
        <v>52</v>
      </c>
      <c r="P53" s="10"/>
      <c r="Q53" s="10" t="s">
        <v>139</v>
      </c>
      <c r="R53" s="28" t="s">
        <v>144</v>
      </c>
      <c r="S53" s="26" t="s">
        <v>161</v>
      </c>
    </row>
    <row r="54" spans="1:19" x14ac:dyDescent="0.3">
      <c r="A54" s="33" t="s">
        <v>15</v>
      </c>
      <c r="B54" s="34" t="s">
        <v>24</v>
      </c>
      <c r="C54" s="35" t="s">
        <v>78</v>
      </c>
      <c r="D54" s="36">
        <v>3</v>
      </c>
      <c r="E54" s="36" t="s">
        <v>10</v>
      </c>
      <c r="F54" s="36" t="s">
        <v>25</v>
      </c>
      <c r="G54" s="36" t="s">
        <v>16</v>
      </c>
      <c r="H54" s="24">
        <f t="shared" si="2"/>
        <v>50000.01</v>
      </c>
      <c r="I54" s="24">
        <v>100000</v>
      </c>
      <c r="J54" s="27">
        <v>3.56</v>
      </c>
      <c r="K54" s="37">
        <v>4536.79</v>
      </c>
      <c r="L54" s="38">
        <v>46183</v>
      </c>
      <c r="M54" s="12">
        <v>9.2399999999999996E-2</v>
      </c>
      <c r="N54" s="11">
        <f>_xlfn.XLOOKUP(E54,ICMS!C:C,ICMS!D:D)</f>
        <v>0.15</v>
      </c>
      <c r="O54" s="36">
        <f t="shared" si="0"/>
        <v>53</v>
      </c>
      <c r="P54" s="10"/>
      <c r="Q54" s="10" t="s">
        <v>139</v>
      </c>
      <c r="R54" s="28" t="s">
        <v>144</v>
      </c>
      <c r="S54" s="26" t="s">
        <v>161</v>
      </c>
    </row>
    <row r="55" spans="1:19" x14ac:dyDescent="0.3">
      <c r="A55" s="33" t="s">
        <v>15</v>
      </c>
      <c r="B55" s="34" t="s">
        <v>24</v>
      </c>
      <c r="C55" s="35" t="s">
        <v>78</v>
      </c>
      <c r="D55" s="36">
        <v>4</v>
      </c>
      <c r="E55" s="36" t="s">
        <v>10</v>
      </c>
      <c r="F55" s="36" t="s">
        <v>25</v>
      </c>
      <c r="G55" s="36" t="s">
        <v>16</v>
      </c>
      <c r="H55" s="24">
        <f t="shared" si="2"/>
        <v>100000.01</v>
      </c>
      <c r="I55" s="24">
        <v>300000</v>
      </c>
      <c r="J55" s="27">
        <v>3.41</v>
      </c>
      <c r="K55" s="37">
        <v>19610.080000000002</v>
      </c>
      <c r="L55" s="38">
        <v>46183</v>
      </c>
      <c r="M55" s="12">
        <v>9.2399999999999996E-2</v>
      </c>
      <c r="N55" s="11">
        <f>_xlfn.XLOOKUP(E55,ICMS!C:C,ICMS!D:D)</f>
        <v>0.15</v>
      </c>
      <c r="O55" s="36">
        <f t="shared" si="0"/>
        <v>54</v>
      </c>
      <c r="P55" s="10"/>
      <c r="Q55" s="10" t="s">
        <v>139</v>
      </c>
      <c r="R55" s="28" t="s">
        <v>144</v>
      </c>
      <c r="S55" s="26" t="s">
        <v>161</v>
      </c>
    </row>
    <row r="56" spans="1:19" x14ac:dyDescent="0.3">
      <c r="A56" s="33" t="s">
        <v>15</v>
      </c>
      <c r="B56" s="34" t="s">
        <v>24</v>
      </c>
      <c r="C56" s="35" t="s">
        <v>78</v>
      </c>
      <c r="D56" s="36">
        <v>5</v>
      </c>
      <c r="E56" s="36" t="s">
        <v>10</v>
      </c>
      <c r="F56" s="36" t="s">
        <v>25</v>
      </c>
      <c r="G56" s="36" t="s">
        <v>16</v>
      </c>
      <c r="H56" s="24">
        <f t="shared" si="2"/>
        <v>300000.01</v>
      </c>
      <c r="I56" s="24">
        <v>650000</v>
      </c>
      <c r="J56" s="27">
        <v>3.24</v>
      </c>
      <c r="K56" s="37">
        <v>68059.94</v>
      </c>
      <c r="L56" s="38">
        <v>46183</v>
      </c>
      <c r="M56" s="12">
        <v>9.2399999999999996E-2</v>
      </c>
      <c r="N56" s="11">
        <f>_xlfn.XLOOKUP(E56,ICMS!C:C,ICMS!D:D)</f>
        <v>0.15</v>
      </c>
      <c r="O56" s="36">
        <f t="shared" si="0"/>
        <v>55</v>
      </c>
      <c r="P56" s="10"/>
      <c r="Q56" s="10" t="s">
        <v>139</v>
      </c>
      <c r="R56" s="28" t="s">
        <v>144</v>
      </c>
      <c r="S56" s="26" t="s">
        <v>161</v>
      </c>
    </row>
    <row r="57" spans="1:19" x14ac:dyDescent="0.3">
      <c r="A57" s="33" t="s">
        <v>15</v>
      </c>
      <c r="B57" s="34" t="s">
        <v>24</v>
      </c>
      <c r="C57" s="35" t="s">
        <v>78</v>
      </c>
      <c r="D57" s="36">
        <v>6</v>
      </c>
      <c r="E57" s="36" t="s">
        <v>10</v>
      </c>
      <c r="F57" s="36" t="s">
        <v>25</v>
      </c>
      <c r="G57" s="36" t="s">
        <v>16</v>
      </c>
      <c r="H57" s="24">
        <f t="shared" si="2"/>
        <v>650000.01</v>
      </c>
      <c r="I57" s="24">
        <v>99999999999</v>
      </c>
      <c r="J57" s="27">
        <v>3.08</v>
      </c>
      <c r="K57" s="37">
        <v>173034.63</v>
      </c>
      <c r="L57" s="38">
        <v>46183</v>
      </c>
      <c r="M57" s="12">
        <v>9.2399999999999996E-2</v>
      </c>
      <c r="N57" s="11">
        <f>_xlfn.XLOOKUP(E57,ICMS!C:C,ICMS!D:D)</f>
        <v>0.15</v>
      </c>
      <c r="O57" s="36">
        <f t="shared" si="0"/>
        <v>56</v>
      </c>
      <c r="P57" s="10"/>
      <c r="Q57" s="10" t="s">
        <v>139</v>
      </c>
      <c r="R57" s="28" t="s">
        <v>144</v>
      </c>
      <c r="S57" s="26" t="s">
        <v>161</v>
      </c>
    </row>
    <row r="58" spans="1:19" x14ac:dyDescent="0.3">
      <c r="A58" s="33" t="s">
        <v>8</v>
      </c>
      <c r="B58" s="34" t="s">
        <v>26</v>
      </c>
      <c r="C58" s="35" t="s">
        <v>80</v>
      </c>
      <c r="D58" s="36">
        <v>1</v>
      </c>
      <c r="E58" s="36" t="s">
        <v>27</v>
      </c>
      <c r="F58" s="36" t="s">
        <v>28</v>
      </c>
      <c r="G58" s="36" t="s">
        <v>17</v>
      </c>
      <c r="H58" s="24">
        <v>0</v>
      </c>
      <c r="I58" s="24">
        <v>7</v>
      </c>
      <c r="J58" s="27">
        <v>9.5319000000000003</v>
      </c>
      <c r="K58" s="37">
        <v>0</v>
      </c>
      <c r="L58" s="38">
        <v>46174</v>
      </c>
      <c r="M58" s="12">
        <v>9.2499999999999999E-2</v>
      </c>
      <c r="N58" s="11">
        <f>_xlfn.XLOOKUP(E58,ICMS!C:C,ICMS!D:D)</f>
        <v>0.12</v>
      </c>
      <c r="O58" s="36">
        <f t="shared" si="0"/>
        <v>57</v>
      </c>
      <c r="P58" s="10"/>
      <c r="Q58" s="10" t="s">
        <v>140</v>
      </c>
      <c r="R58" s="28" t="s">
        <v>145</v>
      </c>
      <c r="S58" s="26" t="s">
        <v>176</v>
      </c>
    </row>
    <row r="59" spans="1:19" x14ac:dyDescent="0.3">
      <c r="A59" s="33" t="s">
        <v>8</v>
      </c>
      <c r="B59" s="34" t="s">
        <v>26</v>
      </c>
      <c r="C59" s="35" t="s">
        <v>80</v>
      </c>
      <c r="D59" s="36">
        <v>2</v>
      </c>
      <c r="E59" s="36" t="s">
        <v>27</v>
      </c>
      <c r="F59" s="36" t="s">
        <v>28</v>
      </c>
      <c r="G59" s="36" t="s">
        <v>17</v>
      </c>
      <c r="H59" s="24">
        <f t="shared" si="2"/>
        <v>7.01</v>
      </c>
      <c r="I59" s="24">
        <v>23</v>
      </c>
      <c r="J59" s="27">
        <v>12.484</v>
      </c>
      <c r="K59" s="37">
        <v>0</v>
      </c>
      <c r="L59" s="38">
        <v>46174</v>
      </c>
      <c r="M59" s="12">
        <v>9.2499999999999999E-2</v>
      </c>
      <c r="N59" s="11">
        <f>_xlfn.XLOOKUP(E59,ICMS!C:C,ICMS!D:D)</f>
        <v>0.12</v>
      </c>
      <c r="O59" s="36">
        <f t="shared" si="0"/>
        <v>58</v>
      </c>
      <c r="P59" s="10"/>
      <c r="Q59" s="10" t="s">
        <v>140</v>
      </c>
      <c r="R59" s="28" t="s">
        <v>145</v>
      </c>
      <c r="S59" s="26" t="s">
        <v>176</v>
      </c>
    </row>
    <row r="60" spans="1:19" x14ac:dyDescent="0.3">
      <c r="A60" s="33" t="s">
        <v>8</v>
      </c>
      <c r="B60" s="34" t="s">
        <v>26</v>
      </c>
      <c r="C60" s="35" t="s">
        <v>80</v>
      </c>
      <c r="D60" s="36">
        <v>3</v>
      </c>
      <c r="E60" s="36" t="s">
        <v>27</v>
      </c>
      <c r="F60" s="36" t="s">
        <v>28</v>
      </c>
      <c r="G60" s="36" t="s">
        <v>17</v>
      </c>
      <c r="H60" s="24">
        <f t="shared" si="2"/>
        <v>23.01</v>
      </c>
      <c r="I60" s="24">
        <v>83</v>
      </c>
      <c r="J60" s="27">
        <v>15.154299999999999</v>
      </c>
      <c r="K60" s="37">
        <v>0</v>
      </c>
      <c r="L60" s="38">
        <v>46174</v>
      </c>
      <c r="M60" s="12">
        <v>9.2499999999999999E-2</v>
      </c>
      <c r="N60" s="11">
        <f>_xlfn.XLOOKUP(E60,ICMS!C:C,ICMS!D:D)</f>
        <v>0.12</v>
      </c>
      <c r="O60" s="36">
        <f t="shared" si="0"/>
        <v>59</v>
      </c>
      <c r="P60" s="10"/>
      <c r="Q60" s="10" t="s">
        <v>140</v>
      </c>
      <c r="R60" s="28" t="s">
        <v>145</v>
      </c>
      <c r="S60" s="26" t="s">
        <v>176</v>
      </c>
    </row>
    <row r="61" spans="1:19" x14ac:dyDescent="0.3">
      <c r="A61" s="33" t="s">
        <v>8</v>
      </c>
      <c r="B61" s="34" t="s">
        <v>26</v>
      </c>
      <c r="C61" s="35" t="s">
        <v>80</v>
      </c>
      <c r="D61" s="36">
        <v>4</v>
      </c>
      <c r="E61" s="36" t="s">
        <v>27</v>
      </c>
      <c r="F61" s="36" t="s">
        <v>28</v>
      </c>
      <c r="G61" s="36" t="s">
        <v>17</v>
      </c>
      <c r="H61" s="24">
        <f>I60+0.01</f>
        <v>83.01</v>
      </c>
      <c r="I61" s="24">
        <v>99999999999</v>
      </c>
      <c r="J61" s="27">
        <v>16.001200000000001</v>
      </c>
      <c r="K61" s="37">
        <v>0</v>
      </c>
      <c r="L61" s="38">
        <v>46174</v>
      </c>
      <c r="M61" s="12">
        <v>9.2499999999999999E-2</v>
      </c>
      <c r="N61" s="11">
        <f>_xlfn.XLOOKUP(E61,ICMS!C:C,ICMS!D:D)</f>
        <v>0.12</v>
      </c>
      <c r="O61" s="36">
        <f t="shared" si="0"/>
        <v>60</v>
      </c>
      <c r="P61" s="10"/>
      <c r="Q61" s="10" t="s">
        <v>140</v>
      </c>
      <c r="R61" s="28" t="s">
        <v>145</v>
      </c>
      <c r="S61" s="26" t="s">
        <v>176</v>
      </c>
    </row>
    <row r="62" spans="1:19" x14ac:dyDescent="0.3">
      <c r="A62" s="33" t="s">
        <v>18</v>
      </c>
      <c r="B62" s="34" t="s">
        <v>26</v>
      </c>
      <c r="C62" s="35" t="s">
        <v>80</v>
      </c>
      <c r="D62" s="36">
        <v>1</v>
      </c>
      <c r="E62" s="36" t="s">
        <v>27</v>
      </c>
      <c r="F62" s="36" t="s">
        <v>28</v>
      </c>
      <c r="G62" s="36" t="s">
        <v>17</v>
      </c>
      <c r="H62" s="24">
        <v>0</v>
      </c>
      <c r="I62" s="24">
        <v>7</v>
      </c>
      <c r="J62" s="27">
        <v>9.5319000000000003</v>
      </c>
      <c r="K62" s="37">
        <v>0</v>
      </c>
      <c r="L62" s="38">
        <v>46174</v>
      </c>
      <c r="M62" s="12">
        <v>9.2499999999999999E-2</v>
      </c>
      <c r="N62" s="11">
        <f>_xlfn.XLOOKUP(E62,ICMS!C:C,ICMS!D:D)</f>
        <v>0.12</v>
      </c>
      <c r="O62" s="36">
        <f t="shared" si="0"/>
        <v>61</v>
      </c>
      <c r="P62" s="10"/>
      <c r="Q62" s="10" t="s">
        <v>140</v>
      </c>
      <c r="R62" s="28" t="s">
        <v>145</v>
      </c>
      <c r="S62" s="26" t="s">
        <v>176</v>
      </c>
    </row>
    <row r="63" spans="1:19" x14ac:dyDescent="0.3">
      <c r="A63" s="33" t="s">
        <v>18</v>
      </c>
      <c r="B63" s="34" t="s">
        <v>26</v>
      </c>
      <c r="C63" s="35" t="s">
        <v>80</v>
      </c>
      <c r="D63" s="36">
        <v>2</v>
      </c>
      <c r="E63" s="36" t="s">
        <v>27</v>
      </c>
      <c r="F63" s="36" t="s">
        <v>28</v>
      </c>
      <c r="G63" s="36" t="s">
        <v>17</v>
      </c>
      <c r="H63" s="24">
        <f t="shared" ref="H63:H64" si="3">I62+0.01</f>
        <v>7.01</v>
      </c>
      <c r="I63" s="24">
        <v>23</v>
      </c>
      <c r="J63" s="27">
        <v>12.484</v>
      </c>
      <c r="K63" s="37">
        <v>0</v>
      </c>
      <c r="L63" s="38">
        <v>46174</v>
      </c>
      <c r="M63" s="12">
        <v>9.2499999999999999E-2</v>
      </c>
      <c r="N63" s="11">
        <f>_xlfn.XLOOKUP(E63,ICMS!C:C,ICMS!D:D)</f>
        <v>0.12</v>
      </c>
      <c r="O63" s="36">
        <f t="shared" si="0"/>
        <v>62</v>
      </c>
      <c r="P63" s="10"/>
      <c r="Q63" s="10" t="s">
        <v>140</v>
      </c>
      <c r="R63" s="28" t="s">
        <v>145</v>
      </c>
      <c r="S63" s="26" t="s">
        <v>176</v>
      </c>
    </row>
    <row r="64" spans="1:19" x14ac:dyDescent="0.3">
      <c r="A64" s="33" t="s">
        <v>18</v>
      </c>
      <c r="B64" s="34" t="s">
        <v>26</v>
      </c>
      <c r="C64" s="35" t="s">
        <v>80</v>
      </c>
      <c r="D64" s="36">
        <v>3</v>
      </c>
      <c r="E64" s="36" t="s">
        <v>27</v>
      </c>
      <c r="F64" s="36" t="s">
        <v>28</v>
      </c>
      <c r="G64" s="36" t="s">
        <v>17</v>
      </c>
      <c r="H64" s="24">
        <f t="shared" si="3"/>
        <v>23.01</v>
      </c>
      <c r="I64" s="24">
        <v>83</v>
      </c>
      <c r="J64" s="27">
        <v>15.154299999999999</v>
      </c>
      <c r="K64" s="37">
        <v>0</v>
      </c>
      <c r="L64" s="38">
        <v>46174</v>
      </c>
      <c r="M64" s="12">
        <v>9.2499999999999999E-2</v>
      </c>
      <c r="N64" s="11">
        <f>_xlfn.XLOOKUP(E64,ICMS!C:C,ICMS!D:D)</f>
        <v>0.12</v>
      </c>
      <c r="O64" s="36">
        <f t="shared" si="0"/>
        <v>63</v>
      </c>
      <c r="P64" s="10"/>
      <c r="Q64" s="10" t="s">
        <v>140</v>
      </c>
      <c r="R64" s="28" t="s">
        <v>145</v>
      </c>
      <c r="S64" s="26" t="s">
        <v>176</v>
      </c>
    </row>
    <row r="65" spans="1:19" x14ac:dyDescent="0.3">
      <c r="A65" s="33" t="s">
        <v>18</v>
      </c>
      <c r="B65" s="34" t="s">
        <v>26</v>
      </c>
      <c r="C65" s="35" t="s">
        <v>80</v>
      </c>
      <c r="D65" s="36">
        <v>4</v>
      </c>
      <c r="E65" s="36" t="s">
        <v>27</v>
      </c>
      <c r="F65" s="36" t="s">
        <v>28</v>
      </c>
      <c r="G65" s="36" t="s">
        <v>17</v>
      </c>
      <c r="H65" s="24">
        <f>I64+0.01</f>
        <v>83.01</v>
      </c>
      <c r="I65" s="24">
        <v>99999999999</v>
      </c>
      <c r="J65" s="27">
        <v>16.001200000000001</v>
      </c>
      <c r="K65" s="37">
        <v>0</v>
      </c>
      <c r="L65" s="38">
        <v>46174</v>
      </c>
      <c r="M65" s="12">
        <v>9.2499999999999999E-2</v>
      </c>
      <c r="N65" s="11">
        <f>_xlfn.XLOOKUP(E65,ICMS!C:C,ICMS!D:D)</f>
        <v>0.12</v>
      </c>
      <c r="O65" s="36">
        <f t="shared" si="0"/>
        <v>64</v>
      </c>
      <c r="P65" s="10"/>
      <c r="Q65" s="10" t="s">
        <v>140</v>
      </c>
      <c r="R65" s="28" t="s">
        <v>145</v>
      </c>
      <c r="S65" s="26" t="s">
        <v>176</v>
      </c>
    </row>
    <row r="66" spans="1:19" x14ac:dyDescent="0.3">
      <c r="A66" s="33" t="s">
        <v>13</v>
      </c>
      <c r="B66" s="34" t="s">
        <v>26</v>
      </c>
      <c r="C66" s="35" t="s">
        <v>80</v>
      </c>
      <c r="D66" s="36">
        <v>1</v>
      </c>
      <c r="E66" s="36" t="s">
        <v>27</v>
      </c>
      <c r="F66" s="36" t="s">
        <v>28</v>
      </c>
      <c r="G66" s="36" t="s">
        <v>29</v>
      </c>
      <c r="H66" s="24">
        <v>0</v>
      </c>
      <c r="I66" s="24">
        <v>200</v>
      </c>
      <c r="J66" s="27">
        <v>9.3027999999999995</v>
      </c>
      <c r="K66" s="37">
        <v>0</v>
      </c>
      <c r="L66" s="38">
        <v>46174</v>
      </c>
      <c r="M66" s="12">
        <v>9.2499999999999999E-2</v>
      </c>
      <c r="N66" s="11">
        <f>_xlfn.XLOOKUP(E66,ICMS!C:C,ICMS!D:D)</f>
        <v>0.12</v>
      </c>
      <c r="O66" s="36">
        <f t="shared" si="0"/>
        <v>65</v>
      </c>
      <c r="P66" s="10"/>
      <c r="Q66" s="10" t="s">
        <v>140</v>
      </c>
      <c r="R66" s="28" t="s">
        <v>145</v>
      </c>
      <c r="S66" s="26" t="s">
        <v>176</v>
      </c>
    </row>
    <row r="67" spans="1:19" x14ac:dyDescent="0.3">
      <c r="A67" s="33" t="s">
        <v>13</v>
      </c>
      <c r="B67" s="34" t="s">
        <v>26</v>
      </c>
      <c r="C67" s="35" t="s">
        <v>80</v>
      </c>
      <c r="D67" s="36">
        <v>2</v>
      </c>
      <c r="E67" s="36" t="s">
        <v>27</v>
      </c>
      <c r="F67" s="36" t="s">
        <v>28</v>
      </c>
      <c r="G67" s="36" t="s">
        <v>29</v>
      </c>
      <c r="H67" s="24">
        <f t="shared" si="2"/>
        <v>200.01</v>
      </c>
      <c r="I67" s="24">
        <v>500</v>
      </c>
      <c r="J67" s="27">
        <v>9.0294000000000008</v>
      </c>
      <c r="K67" s="37">
        <v>0</v>
      </c>
      <c r="L67" s="38">
        <v>46174</v>
      </c>
      <c r="M67" s="12">
        <v>9.2499999999999999E-2</v>
      </c>
      <c r="N67" s="11">
        <f>_xlfn.XLOOKUP(E67,ICMS!C:C,ICMS!D:D)</f>
        <v>0.12</v>
      </c>
      <c r="O67" s="36">
        <f t="shared" si="0"/>
        <v>66</v>
      </c>
      <c r="P67" s="10"/>
      <c r="Q67" s="10" t="s">
        <v>140</v>
      </c>
      <c r="R67" s="28" t="s">
        <v>145</v>
      </c>
      <c r="S67" s="26" t="s">
        <v>176</v>
      </c>
    </row>
    <row r="68" spans="1:19" x14ac:dyDescent="0.3">
      <c r="A68" s="33" t="s">
        <v>13</v>
      </c>
      <c r="B68" s="34" t="s">
        <v>26</v>
      </c>
      <c r="C68" s="35" t="s">
        <v>80</v>
      </c>
      <c r="D68" s="36">
        <v>3</v>
      </c>
      <c r="E68" s="36" t="s">
        <v>27</v>
      </c>
      <c r="F68" s="36" t="s">
        <v>28</v>
      </c>
      <c r="G68" s="36" t="s">
        <v>29</v>
      </c>
      <c r="H68" s="24">
        <f t="shared" si="2"/>
        <v>500.01</v>
      </c>
      <c r="I68" s="24">
        <v>2000</v>
      </c>
      <c r="J68" s="27">
        <v>8.7566000000000006</v>
      </c>
      <c r="K68" s="37">
        <v>0</v>
      </c>
      <c r="L68" s="38">
        <v>46174</v>
      </c>
      <c r="M68" s="12">
        <v>9.2499999999999999E-2</v>
      </c>
      <c r="N68" s="11">
        <f>_xlfn.XLOOKUP(E68,ICMS!C:C,ICMS!D:D)</f>
        <v>0.12</v>
      </c>
      <c r="O68" s="36">
        <f t="shared" ref="O68:O131" si="4">1+O67</f>
        <v>67</v>
      </c>
      <c r="P68" s="10"/>
      <c r="Q68" s="10" t="s">
        <v>140</v>
      </c>
      <c r="R68" s="28" t="s">
        <v>145</v>
      </c>
      <c r="S68" s="26" t="s">
        <v>176</v>
      </c>
    </row>
    <row r="69" spans="1:19" x14ac:dyDescent="0.3">
      <c r="A69" s="33" t="s">
        <v>13</v>
      </c>
      <c r="B69" s="34" t="s">
        <v>26</v>
      </c>
      <c r="C69" s="35" t="s">
        <v>80</v>
      </c>
      <c r="D69" s="36">
        <v>4</v>
      </c>
      <c r="E69" s="36" t="s">
        <v>27</v>
      </c>
      <c r="F69" s="36" t="s">
        <v>28</v>
      </c>
      <c r="G69" s="36" t="s">
        <v>29</v>
      </c>
      <c r="H69" s="24">
        <f t="shared" si="2"/>
        <v>2000.01</v>
      </c>
      <c r="I69" s="24">
        <v>20000</v>
      </c>
      <c r="J69" s="27">
        <v>8.4840999999999998</v>
      </c>
      <c r="K69" s="37">
        <v>0</v>
      </c>
      <c r="L69" s="38">
        <v>46174</v>
      </c>
      <c r="M69" s="12">
        <v>9.2499999999999999E-2</v>
      </c>
      <c r="N69" s="11">
        <f>_xlfn.XLOOKUP(E69,ICMS!C:C,ICMS!D:D)</f>
        <v>0.12</v>
      </c>
      <c r="O69" s="36">
        <f t="shared" si="4"/>
        <v>68</v>
      </c>
      <c r="P69" s="10"/>
      <c r="Q69" s="10" t="s">
        <v>140</v>
      </c>
      <c r="R69" s="28" t="s">
        <v>145</v>
      </c>
      <c r="S69" s="26" t="s">
        <v>176</v>
      </c>
    </row>
    <row r="70" spans="1:19" x14ac:dyDescent="0.3">
      <c r="A70" s="33" t="s">
        <v>13</v>
      </c>
      <c r="B70" s="34" t="s">
        <v>26</v>
      </c>
      <c r="C70" s="35" t="s">
        <v>80</v>
      </c>
      <c r="D70" s="36">
        <v>5</v>
      </c>
      <c r="E70" s="36" t="s">
        <v>27</v>
      </c>
      <c r="F70" s="36" t="s">
        <v>28</v>
      </c>
      <c r="G70" s="36" t="s">
        <v>29</v>
      </c>
      <c r="H70" s="24">
        <f t="shared" si="2"/>
        <v>20000.009999999998</v>
      </c>
      <c r="I70" s="24">
        <v>50000</v>
      </c>
      <c r="J70" s="27">
        <v>8.2110000000000003</v>
      </c>
      <c r="K70" s="37">
        <v>0</v>
      </c>
      <c r="L70" s="38">
        <v>46174</v>
      </c>
      <c r="M70" s="12">
        <v>9.2499999999999999E-2</v>
      </c>
      <c r="N70" s="11">
        <f>_xlfn.XLOOKUP(E70,ICMS!C:C,ICMS!D:D)</f>
        <v>0.12</v>
      </c>
      <c r="O70" s="36">
        <f t="shared" si="4"/>
        <v>69</v>
      </c>
      <c r="P70" s="10"/>
      <c r="Q70" s="10" t="s">
        <v>140</v>
      </c>
      <c r="R70" s="28" t="s">
        <v>145</v>
      </c>
      <c r="S70" s="26" t="s">
        <v>176</v>
      </c>
    </row>
    <row r="71" spans="1:19" x14ac:dyDescent="0.3">
      <c r="A71" s="33" t="s">
        <v>13</v>
      </c>
      <c r="B71" s="34" t="s">
        <v>26</v>
      </c>
      <c r="C71" s="35" t="s">
        <v>80</v>
      </c>
      <c r="D71" s="36">
        <v>6</v>
      </c>
      <c r="E71" s="36" t="s">
        <v>27</v>
      </c>
      <c r="F71" s="36" t="s">
        <v>28</v>
      </c>
      <c r="G71" s="36" t="s">
        <v>29</v>
      </c>
      <c r="H71" s="24">
        <f t="shared" si="2"/>
        <v>50000.01</v>
      </c>
      <c r="I71" s="24">
        <v>99999999999</v>
      </c>
      <c r="J71" s="27">
        <v>7.9379999999999997</v>
      </c>
      <c r="K71" s="37">
        <v>0</v>
      </c>
      <c r="L71" s="38">
        <v>46174</v>
      </c>
      <c r="M71" s="12">
        <v>9.2499999999999999E-2</v>
      </c>
      <c r="N71" s="11">
        <f>_xlfn.XLOOKUP(E71,ICMS!C:C,ICMS!D:D)</f>
        <v>0.12</v>
      </c>
      <c r="O71" s="36">
        <f t="shared" si="4"/>
        <v>70</v>
      </c>
      <c r="P71" s="10"/>
      <c r="Q71" s="10" t="s">
        <v>140</v>
      </c>
      <c r="R71" s="28" t="s">
        <v>145</v>
      </c>
      <c r="S71" s="26" t="s">
        <v>176</v>
      </c>
    </row>
    <row r="72" spans="1:19" x14ac:dyDescent="0.3">
      <c r="A72" s="33" t="s">
        <v>15</v>
      </c>
      <c r="B72" s="34" t="s">
        <v>26</v>
      </c>
      <c r="C72" s="35" t="s">
        <v>80</v>
      </c>
      <c r="D72" s="36">
        <v>1</v>
      </c>
      <c r="E72" s="36" t="s">
        <v>27</v>
      </c>
      <c r="F72" s="36" t="s">
        <v>28</v>
      </c>
      <c r="G72" s="36" t="s">
        <v>21</v>
      </c>
      <c r="H72" s="24">
        <v>0</v>
      </c>
      <c r="I72" s="24">
        <v>200</v>
      </c>
      <c r="J72" s="27">
        <v>5.4474999999999998</v>
      </c>
      <c r="K72" s="37">
        <v>0</v>
      </c>
      <c r="L72" s="38">
        <v>46174</v>
      </c>
      <c r="M72" s="12">
        <v>9.2499999999999999E-2</v>
      </c>
      <c r="N72" s="11">
        <f>_xlfn.XLOOKUP(E72,ICMS!C:C,ICMS!D:D)</f>
        <v>0.12</v>
      </c>
      <c r="O72" s="36">
        <f t="shared" si="4"/>
        <v>71</v>
      </c>
      <c r="P72" s="10"/>
      <c r="Q72" s="10" t="s">
        <v>140</v>
      </c>
      <c r="R72" s="28" t="s">
        <v>145</v>
      </c>
      <c r="S72" s="26" t="s">
        <v>176</v>
      </c>
    </row>
    <row r="73" spans="1:19" x14ac:dyDescent="0.3">
      <c r="A73" s="33" t="s">
        <v>15</v>
      </c>
      <c r="B73" s="34" t="s">
        <v>26</v>
      </c>
      <c r="C73" s="35" t="s">
        <v>80</v>
      </c>
      <c r="D73" s="36">
        <v>2</v>
      </c>
      <c r="E73" s="36" t="s">
        <v>27</v>
      </c>
      <c r="F73" s="36" t="s">
        <v>28</v>
      </c>
      <c r="G73" s="36" t="s">
        <v>21</v>
      </c>
      <c r="H73" s="24">
        <f t="shared" si="2"/>
        <v>200.01</v>
      </c>
      <c r="I73" s="24">
        <v>2000</v>
      </c>
      <c r="J73" s="27">
        <v>5.2862999999999998</v>
      </c>
      <c r="K73" s="37">
        <v>0</v>
      </c>
      <c r="L73" s="38">
        <v>46174</v>
      </c>
      <c r="M73" s="12">
        <v>9.2499999999999999E-2</v>
      </c>
      <c r="N73" s="11">
        <f>_xlfn.XLOOKUP(E73,ICMS!C:C,ICMS!D:D)</f>
        <v>0.12</v>
      </c>
      <c r="O73" s="36">
        <f t="shared" si="4"/>
        <v>72</v>
      </c>
      <c r="P73" s="10"/>
      <c r="Q73" s="10" t="s">
        <v>140</v>
      </c>
      <c r="R73" s="28" t="s">
        <v>145</v>
      </c>
      <c r="S73" s="26" t="s">
        <v>176</v>
      </c>
    </row>
    <row r="74" spans="1:19" x14ac:dyDescent="0.3">
      <c r="A74" s="33" t="s">
        <v>15</v>
      </c>
      <c r="B74" s="34" t="s">
        <v>26</v>
      </c>
      <c r="C74" s="35" t="s">
        <v>80</v>
      </c>
      <c r="D74" s="36">
        <v>3</v>
      </c>
      <c r="E74" s="36" t="s">
        <v>27</v>
      </c>
      <c r="F74" s="36" t="s">
        <v>28</v>
      </c>
      <c r="G74" s="36" t="s">
        <v>21</v>
      </c>
      <c r="H74" s="24">
        <f t="shared" si="2"/>
        <v>2000.01</v>
      </c>
      <c r="I74" s="24">
        <v>10000</v>
      </c>
      <c r="J74" s="27">
        <v>5.1894999999999998</v>
      </c>
      <c r="K74" s="37">
        <v>0</v>
      </c>
      <c r="L74" s="38">
        <v>46174</v>
      </c>
      <c r="M74" s="12">
        <v>9.2499999999999999E-2</v>
      </c>
      <c r="N74" s="11">
        <f>_xlfn.XLOOKUP(E74,ICMS!C:C,ICMS!D:D)</f>
        <v>0.12</v>
      </c>
      <c r="O74" s="36">
        <f t="shared" si="4"/>
        <v>73</v>
      </c>
      <c r="P74" s="10"/>
      <c r="Q74" s="10" t="s">
        <v>140</v>
      </c>
      <c r="R74" s="28" t="s">
        <v>145</v>
      </c>
      <c r="S74" s="26" t="s">
        <v>176</v>
      </c>
    </row>
    <row r="75" spans="1:19" x14ac:dyDescent="0.3">
      <c r="A75" s="33" t="s">
        <v>15</v>
      </c>
      <c r="B75" s="34" t="s">
        <v>26</v>
      </c>
      <c r="C75" s="35" t="s">
        <v>80</v>
      </c>
      <c r="D75" s="36">
        <v>4</v>
      </c>
      <c r="E75" s="36" t="s">
        <v>27</v>
      </c>
      <c r="F75" s="36" t="s">
        <v>28</v>
      </c>
      <c r="G75" s="36" t="s">
        <v>21</v>
      </c>
      <c r="H75" s="24">
        <f t="shared" si="2"/>
        <v>10000.01</v>
      </c>
      <c r="I75" s="24">
        <v>50000</v>
      </c>
      <c r="J75" s="27">
        <v>4.6619999999999999</v>
      </c>
      <c r="K75" s="37">
        <v>0</v>
      </c>
      <c r="L75" s="38">
        <v>46174</v>
      </c>
      <c r="M75" s="12">
        <v>9.2499999999999999E-2</v>
      </c>
      <c r="N75" s="11">
        <f>_xlfn.XLOOKUP(E75,ICMS!C:C,ICMS!D:D)</f>
        <v>0.12</v>
      </c>
      <c r="O75" s="36">
        <f t="shared" si="4"/>
        <v>74</v>
      </c>
      <c r="P75" s="10"/>
      <c r="Q75" s="10" t="s">
        <v>140</v>
      </c>
      <c r="R75" s="28" t="s">
        <v>145</v>
      </c>
      <c r="S75" s="26" t="s">
        <v>176</v>
      </c>
    </row>
    <row r="76" spans="1:19" x14ac:dyDescent="0.3">
      <c r="A76" s="33" t="s">
        <v>15</v>
      </c>
      <c r="B76" s="34" t="s">
        <v>26</v>
      </c>
      <c r="C76" s="35" t="s">
        <v>80</v>
      </c>
      <c r="D76" s="36">
        <v>5</v>
      </c>
      <c r="E76" s="36" t="s">
        <v>27</v>
      </c>
      <c r="F76" s="36" t="s">
        <v>28</v>
      </c>
      <c r="G76" s="36" t="s">
        <v>21</v>
      </c>
      <c r="H76" s="24">
        <f t="shared" si="2"/>
        <v>50000.01</v>
      </c>
      <c r="I76" s="24">
        <v>100000</v>
      </c>
      <c r="J76" s="27">
        <v>4.3455000000000004</v>
      </c>
      <c r="K76" s="37">
        <v>0</v>
      </c>
      <c r="L76" s="38">
        <v>46174</v>
      </c>
      <c r="M76" s="12">
        <v>9.2499999999999999E-2</v>
      </c>
      <c r="N76" s="11">
        <f>_xlfn.XLOOKUP(E76,ICMS!C:C,ICMS!D:D)</f>
        <v>0.12</v>
      </c>
      <c r="O76" s="36">
        <f t="shared" si="4"/>
        <v>75</v>
      </c>
      <c r="P76" s="10"/>
      <c r="Q76" s="10" t="s">
        <v>140</v>
      </c>
      <c r="R76" s="28" t="s">
        <v>145</v>
      </c>
      <c r="S76" s="26" t="s">
        <v>176</v>
      </c>
    </row>
    <row r="77" spans="1:19" x14ac:dyDescent="0.3">
      <c r="A77" s="33" t="s">
        <v>15</v>
      </c>
      <c r="B77" s="34" t="s">
        <v>26</v>
      </c>
      <c r="C77" s="35" t="s">
        <v>80</v>
      </c>
      <c r="D77" s="36">
        <v>6</v>
      </c>
      <c r="E77" s="36" t="s">
        <v>27</v>
      </c>
      <c r="F77" s="36" t="s">
        <v>28</v>
      </c>
      <c r="G77" s="36" t="s">
        <v>21</v>
      </c>
      <c r="H77" s="24">
        <f t="shared" si="2"/>
        <v>100000.01</v>
      </c>
      <c r="I77" s="24">
        <v>300000</v>
      </c>
      <c r="J77" s="27">
        <v>4.0080999999999998</v>
      </c>
      <c r="K77" s="37">
        <v>0</v>
      </c>
      <c r="L77" s="38">
        <v>46174</v>
      </c>
      <c r="M77" s="12">
        <v>9.2499999999999999E-2</v>
      </c>
      <c r="N77" s="11">
        <f>_xlfn.XLOOKUP(E77,ICMS!C:C,ICMS!D:D)</f>
        <v>0.12</v>
      </c>
      <c r="O77" s="36">
        <f t="shared" si="4"/>
        <v>76</v>
      </c>
      <c r="P77" s="10"/>
      <c r="Q77" s="10" t="s">
        <v>140</v>
      </c>
      <c r="R77" s="28" t="s">
        <v>145</v>
      </c>
      <c r="S77" s="26" t="s">
        <v>176</v>
      </c>
    </row>
    <row r="78" spans="1:19" x14ac:dyDescent="0.3">
      <c r="A78" s="33" t="s">
        <v>15</v>
      </c>
      <c r="B78" s="34" t="s">
        <v>26</v>
      </c>
      <c r="C78" s="35" t="s">
        <v>80</v>
      </c>
      <c r="D78" s="36">
        <v>7</v>
      </c>
      <c r="E78" s="36" t="s">
        <v>27</v>
      </c>
      <c r="F78" s="36" t="s">
        <v>28</v>
      </c>
      <c r="G78" s="36" t="s">
        <v>21</v>
      </c>
      <c r="H78" s="24">
        <f t="shared" si="2"/>
        <v>300000.01</v>
      </c>
      <c r="I78" s="24">
        <v>600000</v>
      </c>
      <c r="J78" s="27">
        <v>3.6084999999999998</v>
      </c>
      <c r="K78" s="37">
        <v>0</v>
      </c>
      <c r="L78" s="38">
        <v>46174</v>
      </c>
      <c r="M78" s="12">
        <v>9.2499999999999999E-2</v>
      </c>
      <c r="N78" s="11">
        <f>_xlfn.XLOOKUP(E78,ICMS!C:C,ICMS!D:D)</f>
        <v>0.12</v>
      </c>
      <c r="O78" s="36">
        <f t="shared" si="4"/>
        <v>77</v>
      </c>
      <c r="P78" s="10"/>
      <c r="Q78" s="10" t="s">
        <v>140</v>
      </c>
      <c r="R78" s="28" t="s">
        <v>145</v>
      </c>
      <c r="S78" s="26" t="s">
        <v>176</v>
      </c>
    </row>
    <row r="79" spans="1:19" x14ac:dyDescent="0.3">
      <c r="A79" s="33" t="s">
        <v>15</v>
      </c>
      <c r="B79" s="34" t="s">
        <v>26</v>
      </c>
      <c r="C79" s="35" t="s">
        <v>80</v>
      </c>
      <c r="D79" s="36">
        <v>8</v>
      </c>
      <c r="E79" s="36" t="s">
        <v>27</v>
      </c>
      <c r="F79" s="36" t="s">
        <v>28</v>
      </c>
      <c r="G79" s="36" t="s">
        <v>21</v>
      </c>
      <c r="H79" s="24">
        <f t="shared" si="2"/>
        <v>600000.01</v>
      </c>
      <c r="I79" s="24">
        <v>1500000</v>
      </c>
      <c r="J79" s="27">
        <v>3.5981000000000001</v>
      </c>
      <c r="K79" s="37">
        <v>0</v>
      </c>
      <c r="L79" s="38">
        <v>46174</v>
      </c>
      <c r="M79" s="12">
        <v>9.2499999999999999E-2</v>
      </c>
      <c r="N79" s="11">
        <f>_xlfn.XLOOKUP(E79,ICMS!C:C,ICMS!D:D)</f>
        <v>0.12</v>
      </c>
      <c r="O79" s="36">
        <f t="shared" si="4"/>
        <v>78</v>
      </c>
      <c r="P79" s="10"/>
      <c r="Q79" s="10" t="s">
        <v>140</v>
      </c>
      <c r="R79" s="28" t="s">
        <v>145</v>
      </c>
      <c r="S79" s="26" t="s">
        <v>176</v>
      </c>
    </row>
    <row r="80" spans="1:19" x14ac:dyDescent="0.3">
      <c r="A80" s="33" t="s">
        <v>15</v>
      </c>
      <c r="B80" s="34" t="s">
        <v>26</v>
      </c>
      <c r="C80" s="35" t="s">
        <v>80</v>
      </c>
      <c r="D80" s="36">
        <v>9</v>
      </c>
      <c r="E80" s="36" t="s">
        <v>27</v>
      </c>
      <c r="F80" s="36" t="s">
        <v>28</v>
      </c>
      <c r="G80" s="36" t="s">
        <v>21</v>
      </c>
      <c r="H80" s="24">
        <f t="shared" si="2"/>
        <v>1500000.01</v>
      </c>
      <c r="I80" s="24">
        <v>3000000</v>
      </c>
      <c r="J80" s="27">
        <v>3.5688</v>
      </c>
      <c r="K80" s="37">
        <v>0</v>
      </c>
      <c r="L80" s="38">
        <v>46174</v>
      </c>
      <c r="M80" s="12">
        <v>9.2499999999999999E-2</v>
      </c>
      <c r="N80" s="11">
        <f>_xlfn.XLOOKUP(E80,ICMS!C:C,ICMS!D:D)</f>
        <v>0.12</v>
      </c>
      <c r="O80" s="36">
        <f t="shared" si="4"/>
        <v>79</v>
      </c>
      <c r="P80" s="10"/>
      <c r="Q80" s="10" t="s">
        <v>140</v>
      </c>
      <c r="R80" s="28" t="s">
        <v>145</v>
      </c>
      <c r="S80" s="26" t="s">
        <v>176</v>
      </c>
    </row>
    <row r="81" spans="1:19" x14ac:dyDescent="0.3">
      <c r="A81" s="33" t="s">
        <v>15</v>
      </c>
      <c r="B81" s="34" t="s">
        <v>26</v>
      </c>
      <c r="C81" s="35" t="s">
        <v>80</v>
      </c>
      <c r="D81" s="36">
        <v>10</v>
      </c>
      <c r="E81" s="36" t="s">
        <v>27</v>
      </c>
      <c r="F81" s="36" t="s">
        <v>28</v>
      </c>
      <c r="G81" s="36" t="s">
        <v>21</v>
      </c>
      <c r="H81" s="24">
        <f t="shared" si="2"/>
        <v>3000000.01</v>
      </c>
      <c r="I81" s="24">
        <v>99999999999</v>
      </c>
      <c r="J81" s="27">
        <v>3.4698000000000002</v>
      </c>
      <c r="K81" s="37">
        <v>0</v>
      </c>
      <c r="L81" s="38">
        <v>46174</v>
      </c>
      <c r="M81" s="12">
        <v>9.2499999999999999E-2</v>
      </c>
      <c r="N81" s="11">
        <f>_xlfn.XLOOKUP(E81,ICMS!C:C,ICMS!D:D)</f>
        <v>0.12</v>
      </c>
      <c r="O81" s="36">
        <f t="shared" si="4"/>
        <v>80</v>
      </c>
      <c r="P81" s="10"/>
      <c r="Q81" s="10" t="s">
        <v>140</v>
      </c>
      <c r="R81" s="28" t="s">
        <v>145</v>
      </c>
      <c r="S81" s="26" t="s">
        <v>176</v>
      </c>
    </row>
    <row r="82" spans="1:19" x14ac:dyDescent="0.3">
      <c r="A82" s="33" t="s">
        <v>8</v>
      </c>
      <c r="B82" s="34" t="s">
        <v>30</v>
      </c>
      <c r="C82" s="35" t="s">
        <v>80</v>
      </c>
      <c r="D82" s="36">
        <v>1</v>
      </c>
      <c r="E82" s="36" t="s">
        <v>27</v>
      </c>
      <c r="F82" s="36" t="s">
        <v>31</v>
      </c>
      <c r="G82" s="36" t="s">
        <v>17</v>
      </c>
      <c r="H82" s="24">
        <v>0</v>
      </c>
      <c r="I82" s="24">
        <v>7</v>
      </c>
      <c r="J82" s="27">
        <v>7.2957999999999998</v>
      </c>
      <c r="K82" s="37">
        <v>0</v>
      </c>
      <c r="L82" s="38">
        <v>46174</v>
      </c>
      <c r="M82" s="12">
        <v>9.2499999999999999E-2</v>
      </c>
      <c r="N82" s="11">
        <f>_xlfn.XLOOKUP(E82,ICMS!C:C,ICMS!D:D)</f>
        <v>0.12</v>
      </c>
      <c r="O82" s="36">
        <f t="shared" si="4"/>
        <v>81</v>
      </c>
      <c r="P82" s="10"/>
      <c r="Q82" s="10" t="s">
        <v>140</v>
      </c>
      <c r="R82" s="28" t="s">
        <v>145</v>
      </c>
      <c r="S82" s="26" t="s">
        <v>176</v>
      </c>
    </row>
    <row r="83" spans="1:19" x14ac:dyDescent="0.3">
      <c r="A83" s="33" t="s">
        <v>8</v>
      </c>
      <c r="B83" s="34" t="s">
        <v>30</v>
      </c>
      <c r="C83" s="35" t="s">
        <v>80</v>
      </c>
      <c r="D83" s="36">
        <v>2</v>
      </c>
      <c r="E83" s="36" t="s">
        <v>27</v>
      </c>
      <c r="F83" s="36" t="s">
        <v>31</v>
      </c>
      <c r="G83" s="36" t="s">
        <v>17</v>
      </c>
      <c r="H83" s="24">
        <f t="shared" si="2"/>
        <v>7.01</v>
      </c>
      <c r="I83" s="24">
        <v>23</v>
      </c>
      <c r="J83" s="27">
        <v>9.2704000000000004</v>
      </c>
      <c r="K83" s="37">
        <v>0</v>
      </c>
      <c r="L83" s="38">
        <v>46174</v>
      </c>
      <c r="M83" s="12">
        <v>9.2499999999999999E-2</v>
      </c>
      <c r="N83" s="11">
        <f>_xlfn.XLOOKUP(E83,ICMS!C:C,ICMS!D:D)</f>
        <v>0.12</v>
      </c>
      <c r="O83" s="36">
        <f t="shared" si="4"/>
        <v>82</v>
      </c>
      <c r="P83" s="10"/>
      <c r="Q83" s="10" t="s">
        <v>140</v>
      </c>
      <c r="R83" s="28" t="s">
        <v>145</v>
      </c>
      <c r="S83" s="26" t="s">
        <v>176</v>
      </c>
    </row>
    <row r="84" spans="1:19" x14ac:dyDescent="0.3">
      <c r="A84" s="33" t="s">
        <v>8</v>
      </c>
      <c r="B84" s="34" t="s">
        <v>30</v>
      </c>
      <c r="C84" s="35" t="s">
        <v>80</v>
      </c>
      <c r="D84" s="36">
        <v>3</v>
      </c>
      <c r="E84" s="36" t="s">
        <v>27</v>
      </c>
      <c r="F84" s="36" t="s">
        <v>31</v>
      </c>
      <c r="G84" s="36" t="s">
        <v>17</v>
      </c>
      <c r="H84" s="24">
        <f t="shared" si="2"/>
        <v>23.01</v>
      </c>
      <c r="I84" s="24">
        <v>83</v>
      </c>
      <c r="J84" s="27">
        <v>11.078099999999999</v>
      </c>
      <c r="K84" s="37">
        <v>0</v>
      </c>
      <c r="L84" s="38">
        <v>46174</v>
      </c>
      <c r="M84" s="12">
        <v>9.2499999999999999E-2</v>
      </c>
      <c r="N84" s="11">
        <f>_xlfn.XLOOKUP(E84,ICMS!C:C,ICMS!D:D)</f>
        <v>0.12</v>
      </c>
      <c r="O84" s="36">
        <f t="shared" si="4"/>
        <v>83</v>
      </c>
      <c r="P84" s="10"/>
      <c r="Q84" s="10" t="s">
        <v>140</v>
      </c>
      <c r="R84" s="28" t="s">
        <v>145</v>
      </c>
      <c r="S84" s="26" t="s">
        <v>176</v>
      </c>
    </row>
    <row r="85" spans="1:19" x14ac:dyDescent="0.3">
      <c r="A85" s="33" t="s">
        <v>8</v>
      </c>
      <c r="B85" s="34" t="s">
        <v>30</v>
      </c>
      <c r="C85" s="35" t="s">
        <v>80</v>
      </c>
      <c r="D85" s="36">
        <v>4</v>
      </c>
      <c r="E85" s="36" t="s">
        <v>27</v>
      </c>
      <c r="F85" s="36" t="s">
        <v>31</v>
      </c>
      <c r="G85" s="36" t="s">
        <v>17</v>
      </c>
      <c r="H85" s="24">
        <f t="shared" si="2"/>
        <v>83.01</v>
      </c>
      <c r="I85" s="24">
        <v>99999999999</v>
      </c>
      <c r="J85" s="27">
        <v>12.3523</v>
      </c>
      <c r="K85" s="37">
        <v>0</v>
      </c>
      <c r="L85" s="38">
        <v>46174</v>
      </c>
      <c r="M85" s="12">
        <v>9.2499999999999999E-2</v>
      </c>
      <c r="N85" s="11">
        <f>_xlfn.XLOOKUP(E85,ICMS!C:C,ICMS!D:D)</f>
        <v>0.12</v>
      </c>
      <c r="O85" s="36">
        <f t="shared" si="4"/>
        <v>84</v>
      </c>
      <c r="P85" s="10"/>
      <c r="Q85" s="10" t="s">
        <v>140</v>
      </c>
      <c r="R85" s="28" t="s">
        <v>145</v>
      </c>
      <c r="S85" s="26" t="s">
        <v>176</v>
      </c>
    </row>
    <row r="86" spans="1:19" x14ac:dyDescent="0.3">
      <c r="A86" s="33" t="s">
        <v>18</v>
      </c>
      <c r="B86" s="34" t="s">
        <v>30</v>
      </c>
      <c r="C86" s="35" t="s">
        <v>80</v>
      </c>
      <c r="D86" s="36">
        <v>1</v>
      </c>
      <c r="E86" s="36" t="s">
        <v>27</v>
      </c>
      <c r="F86" s="36" t="s">
        <v>31</v>
      </c>
      <c r="G86" s="36" t="s">
        <v>17</v>
      </c>
      <c r="H86" s="24">
        <v>0</v>
      </c>
      <c r="I86" s="24">
        <v>7</v>
      </c>
      <c r="J86" s="27">
        <v>7.2957999999999998</v>
      </c>
      <c r="K86" s="37">
        <v>0</v>
      </c>
      <c r="L86" s="38">
        <v>46174</v>
      </c>
      <c r="M86" s="12">
        <v>9.2499999999999999E-2</v>
      </c>
      <c r="N86" s="11">
        <f>_xlfn.XLOOKUP(E86,ICMS!C:C,ICMS!D:D)</f>
        <v>0.12</v>
      </c>
      <c r="O86" s="36">
        <f t="shared" si="4"/>
        <v>85</v>
      </c>
      <c r="P86" s="10"/>
      <c r="Q86" s="10" t="s">
        <v>140</v>
      </c>
      <c r="R86" s="28" t="s">
        <v>145</v>
      </c>
      <c r="S86" s="26" t="s">
        <v>176</v>
      </c>
    </row>
    <row r="87" spans="1:19" x14ac:dyDescent="0.3">
      <c r="A87" s="33" t="s">
        <v>18</v>
      </c>
      <c r="B87" s="34" t="s">
        <v>30</v>
      </c>
      <c r="C87" s="35" t="s">
        <v>80</v>
      </c>
      <c r="D87" s="36">
        <v>2</v>
      </c>
      <c r="E87" s="36" t="s">
        <v>27</v>
      </c>
      <c r="F87" s="36" t="s">
        <v>31</v>
      </c>
      <c r="G87" s="36" t="s">
        <v>17</v>
      </c>
      <c r="H87" s="24">
        <f t="shared" ref="H87:H89" si="5">I86+0.01</f>
        <v>7.01</v>
      </c>
      <c r="I87" s="24">
        <v>23</v>
      </c>
      <c r="J87" s="27">
        <v>9.2704000000000004</v>
      </c>
      <c r="K87" s="37">
        <v>0</v>
      </c>
      <c r="L87" s="38">
        <v>46174</v>
      </c>
      <c r="M87" s="12">
        <v>9.2499999999999999E-2</v>
      </c>
      <c r="N87" s="11">
        <f>_xlfn.XLOOKUP(E87,ICMS!C:C,ICMS!D:D)</f>
        <v>0.12</v>
      </c>
      <c r="O87" s="36">
        <f t="shared" si="4"/>
        <v>86</v>
      </c>
      <c r="P87" s="10"/>
      <c r="Q87" s="10" t="s">
        <v>140</v>
      </c>
      <c r="R87" s="28" t="s">
        <v>145</v>
      </c>
      <c r="S87" s="26" t="s">
        <v>176</v>
      </c>
    </row>
    <row r="88" spans="1:19" x14ac:dyDescent="0.3">
      <c r="A88" s="33" t="s">
        <v>18</v>
      </c>
      <c r="B88" s="34" t="s">
        <v>30</v>
      </c>
      <c r="C88" s="35" t="s">
        <v>80</v>
      </c>
      <c r="D88" s="36">
        <v>3</v>
      </c>
      <c r="E88" s="36" t="s">
        <v>27</v>
      </c>
      <c r="F88" s="36" t="s">
        <v>31</v>
      </c>
      <c r="G88" s="36" t="s">
        <v>17</v>
      </c>
      <c r="H88" s="24">
        <f t="shared" si="5"/>
        <v>23.01</v>
      </c>
      <c r="I88" s="24">
        <v>83</v>
      </c>
      <c r="J88" s="27">
        <v>11.078099999999999</v>
      </c>
      <c r="K88" s="37">
        <v>0</v>
      </c>
      <c r="L88" s="38">
        <v>46174</v>
      </c>
      <c r="M88" s="12">
        <v>9.2499999999999999E-2</v>
      </c>
      <c r="N88" s="11">
        <f>_xlfn.XLOOKUP(E88,ICMS!C:C,ICMS!D:D)</f>
        <v>0.12</v>
      </c>
      <c r="O88" s="36">
        <f t="shared" si="4"/>
        <v>87</v>
      </c>
      <c r="P88" s="10"/>
      <c r="Q88" s="10" t="s">
        <v>140</v>
      </c>
      <c r="R88" s="28" t="s">
        <v>145</v>
      </c>
      <c r="S88" s="26" t="s">
        <v>176</v>
      </c>
    </row>
    <row r="89" spans="1:19" x14ac:dyDescent="0.3">
      <c r="A89" s="33" t="s">
        <v>18</v>
      </c>
      <c r="B89" s="34" t="s">
        <v>30</v>
      </c>
      <c r="C89" s="35" t="s">
        <v>80</v>
      </c>
      <c r="D89" s="36">
        <v>4</v>
      </c>
      <c r="E89" s="36" t="s">
        <v>27</v>
      </c>
      <c r="F89" s="36" t="s">
        <v>31</v>
      </c>
      <c r="G89" s="36" t="s">
        <v>17</v>
      </c>
      <c r="H89" s="24">
        <f t="shared" si="5"/>
        <v>83.01</v>
      </c>
      <c r="I89" s="24">
        <v>99999999999</v>
      </c>
      <c r="J89" s="27">
        <v>12.3523</v>
      </c>
      <c r="K89" s="37">
        <v>0</v>
      </c>
      <c r="L89" s="38">
        <v>46174</v>
      </c>
      <c r="M89" s="12">
        <v>9.2499999999999999E-2</v>
      </c>
      <c r="N89" s="11">
        <f>_xlfn.XLOOKUP(E89,ICMS!C:C,ICMS!D:D)</f>
        <v>0.12</v>
      </c>
      <c r="O89" s="36">
        <f t="shared" si="4"/>
        <v>88</v>
      </c>
      <c r="P89" s="10"/>
      <c r="Q89" s="10" t="s">
        <v>140</v>
      </c>
      <c r="R89" s="28" t="s">
        <v>145</v>
      </c>
      <c r="S89" s="26" t="s">
        <v>176</v>
      </c>
    </row>
    <row r="90" spans="1:19" x14ac:dyDescent="0.3">
      <c r="A90" s="33" t="s">
        <v>13</v>
      </c>
      <c r="B90" s="34" t="s">
        <v>30</v>
      </c>
      <c r="C90" s="35" t="s">
        <v>80</v>
      </c>
      <c r="D90" s="36">
        <v>1</v>
      </c>
      <c r="E90" s="36" t="s">
        <v>27</v>
      </c>
      <c r="F90" s="36" t="s">
        <v>31</v>
      </c>
      <c r="G90" s="36" t="s">
        <v>29</v>
      </c>
      <c r="H90" s="24">
        <v>0</v>
      </c>
      <c r="I90" s="24">
        <v>200</v>
      </c>
      <c r="J90" s="27">
        <v>6.2389999999999999</v>
      </c>
      <c r="K90" s="37">
        <v>0</v>
      </c>
      <c r="L90" s="38">
        <v>46174</v>
      </c>
      <c r="M90" s="12">
        <v>9.2499999999999999E-2</v>
      </c>
      <c r="N90" s="11">
        <f>_xlfn.XLOOKUP(E90,ICMS!C:C,ICMS!D:D)</f>
        <v>0.12</v>
      </c>
      <c r="O90" s="36">
        <f t="shared" si="4"/>
        <v>89</v>
      </c>
      <c r="P90" s="10"/>
      <c r="Q90" s="10" t="s">
        <v>140</v>
      </c>
      <c r="R90" s="28" t="s">
        <v>145</v>
      </c>
      <c r="S90" s="26" t="s">
        <v>176</v>
      </c>
    </row>
    <row r="91" spans="1:19" x14ac:dyDescent="0.3">
      <c r="A91" s="33" t="s">
        <v>13</v>
      </c>
      <c r="B91" s="34" t="s">
        <v>30</v>
      </c>
      <c r="C91" s="35" t="s">
        <v>80</v>
      </c>
      <c r="D91" s="36">
        <v>2</v>
      </c>
      <c r="E91" s="36" t="s">
        <v>27</v>
      </c>
      <c r="F91" s="36" t="s">
        <v>31</v>
      </c>
      <c r="G91" s="36" t="s">
        <v>29</v>
      </c>
      <c r="H91" s="24">
        <f t="shared" si="2"/>
        <v>200.01</v>
      </c>
      <c r="I91" s="24">
        <v>500</v>
      </c>
      <c r="J91" s="27">
        <v>6.1658999999999997</v>
      </c>
      <c r="K91" s="37">
        <v>0</v>
      </c>
      <c r="L91" s="38">
        <v>46174</v>
      </c>
      <c r="M91" s="12">
        <v>9.2499999999999999E-2</v>
      </c>
      <c r="N91" s="11">
        <f>_xlfn.XLOOKUP(E91,ICMS!C:C,ICMS!D:D)</f>
        <v>0.12</v>
      </c>
      <c r="O91" s="36">
        <f t="shared" si="4"/>
        <v>90</v>
      </c>
      <c r="P91" s="10"/>
      <c r="Q91" s="10" t="s">
        <v>140</v>
      </c>
      <c r="R91" s="28" t="s">
        <v>145</v>
      </c>
      <c r="S91" s="26" t="s">
        <v>176</v>
      </c>
    </row>
    <row r="92" spans="1:19" x14ac:dyDescent="0.3">
      <c r="A92" s="33" t="s">
        <v>13</v>
      </c>
      <c r="B92" s="34" t="s">
        <v>30</v>
      </c>
      <c r="C92" s="35" t="s">
        <v>80</v>
      </c>
      <c r="D92" s="36">
        <v>3</v>
      </c>
      <c r="E92" s="36" t="s">
        <v>27</v>
      </c>
      <c r="F92" s="36" t="s">
        <v>31</v>
      </c>
      <c r="G92" s="36" t="s">
        <v>29</v>
      </c>
      <c r="H92" s="24">
        <f t="shared" si="2"/>
        <v>500.01</v>
      </c>
      <c r="I92" s="24">
        <v>2000</v>
      </c>
      <c r="J92" s="27">
        <v>5.0389999999999997</v>
      </c>
      <c r="K92" s="37">
        <v>0</v>
      </c>
      <c r="L92" s="38">
        <v>46174</v>
      </c>
      <c r="M92" s="12">
        <v>9.2499999999999999E-2</v>
      </c>
      <c r="N92" s="11">
        <f>_xlfn.XLOOKUP(E92,ICMS!C:C,ICMS!D:D)</f>
        <v>0.12</v>
      </c>
      <c r="O92" s="36">
        <f t="shared" si="4"/>
        <v>91</v>
      </c>
      <c r="P92" s="10"/>
      <c r="Q92" s="10" t="s">
        <v>140</v>
      </c>
      <c r="R92" s="28" t="s">
        <v>145</v>
      </c>
      <c r="S92" s="26" t="s">
        <v>176</v>
      </c>
    </row>
    <row r="93" spans="1:19" x14ac:dyDescent="0.3">
      <c r="A93" s="33" t="s">
        <v>13</v>
      </c>
      <c r="B93" s="34" t="s">
        <v>30</v>
      </c>
      <c r="C93" s="35" t="s">
        <v>80</v>
      </c>
      <c r="D93" s="36">
        <v>4</v>
      </c>
      <c r="E93" s="36" t="s">
        <v>27</v>
      </c>
      <c r="F93" s="36" t="s">
        <v>31</v>
      </c>
      <c r="G93" s="36" t="s">
        <v>29</v>
      </c>
      <c r="H93" s="24">
        <f t="shared" si="2"/>
        <v>2000.01</v>
      </c>
      <c r="I93" s="24">
        <v>20000</v>
      </c>
      <c r="J93" s="27">
        <v>4.9187000000000003</v>
      </c>
      <c r="K93" s="37">
        <v>0</v>
      </c>
      <c r="L93" s="38">
        <v>46174</v>
      </c>
      <c r="M93" s="12">
        <v>9.2499999999999999E-2</v>
      </c>
      <c r="N93" s="11">
        <f>_xlfn.XLOOKUP(E93,ICMS!C:C,ICMS!D:D)</f>
        <v>0.12</v>
      </c>
      <c r="O93" s="36">
        <f t="shared" si="4"/>
        <v>92</v>
      </c>
      <c r="P93" s="10"/>
      <c r="Q93" s="10" t="s">
        <v>140</v>
      </c>
      <c r="R93" s="28" t="s">
        <v>145</v>
      </c>
      <c r="S93" s="26" t="s">
        <v>176</v>
      </c>
    </row>
    <row r="94" spans="1:19" x14ac:dyDescent="0.3">
      <c r="A94" s="33" t="s">
        <v>13</v>
      </c>
      <c r="B94" s="34" t="s">
        <v>30</v>
      </c>
      <c r="C94" s="35" t="s">
        <v>80</v>
      </c>
      <c r="D94" s="36">
        <v>5</v>
      </c>
      <c r="E94" s="36" t="s">
        <v>27</v>
      </c>
      <c r="F94" s="36" t="s">
        <v>31</v>
      </c>
      <c r="G94" s="36" t="s">
        <v>29</v>
      </c>
      <c r="H94" s="24">
        <f t="shared" si="2"/>
        <v>20000.009999999998</v>
      </c>
      <c r="I94" s="24">
        <v>50000</v>
      </c>
      <c r="J94" s="27">
        <v>4.8140999999999998</v>
      </c>
      <c r="K94" s="37">
        <v>0</v>
      </c>
      <c r="L94" s="38">
        <v>46174</v>
      </c>
      <c r="M94" s="12">
        <v>9.2499999999999999E-2</v>
      </c>
      <c r="N94" s="11">
        <f>_xlfn.XLOOKUP(E94,ICMS!C:C,ICMS!D:D)</f>
        <v>0.12</v>
      </c>
      <c r="O94" s="36">
        <f t="shared" si="4"/>
        <v>93</v>
      </c>
      <c r="P94" s="10"/>
      <c r="Q94" s="10" t="s">
        <v>140</v>
      </c>
      <c r="R94" s="28" t="s">
        <v>145</v>
      </c>
      <c r="S94" s="26" t="s">
        <v>176</v>
      </c>
    </row>
    <row r="95" spans="1:19" x14ac:dyDescent="0.3">
      <c r="A95" s="33" t="s">
        <v>13</v>
      </c>
      <c r="B95" s="34" t="s">
        <v>30</v>
      </c>
      <c r="C95" s="35" t="s">
        <v>80</v>
      </c>
      <c r="D95" s="36">
        <v>6</v>
      </c>
      <c r="E95" s="36" t="s">
        <v>27</v>
      </c>
      <c r="F95" s="36" t="s">
        <v>31</v>
      </c>
      <c r="G95" s="36" t="s">
        <v>29</v>
      </c>
      <c r="H95" s="24">
        <f t="shared" si="2"/>
        <v>50000.01</v>
      </c>
      <c r="I95" s="24">
        <v>99999999999</v>
      </c>
      <c r="J95" s="27">
        <v>4.7095000000000002</v>
      </c>
      <c r="K95" s="37">
        <v>0</v>
      </c>
      <c r="L95" s="38">
        <v>46174</v>
      </c>
      <c r="M95" s="12">
        <v>9.2499999999999999E-2</v>
      </c>
      <c r="N95" s="11">
        <f>_xlfn.XLOOKUP(E95,ICMS!C:C,ICMS!D:D)</f>
        <v>0.12</v>
      </c>
      <c r="O95" s="36">
        <f t="shared" si="4"/>
        <v>94</v>
      </c>
      <c r="P95" s="10"/>
      <c r="Q95" s="10" t="s">
        <v>140</v>
      </c>
      <c r="R95" s="28" t="s">
        <v>145</v>
      </c>
      <c r="S95" s="26" t="s">
        <v>176</v>
      </c>
    </row>
    <row r="96" spans="1:19" x14ac:dyDescent="0.3">
      <c r="A96" s="33" t="s">
        <v>15</v>
      </c>
      <c r="B96" s="34" t="s">
        <v>30</v>
      </c>
      <c r="C96" s="35" t="s">
        <v>80</v>
      </c>
      <c r="D96" s="36">
        <v>1</v>
      </c>
      <c r="E96" s="36" t="s">
        <v>27</v>
      </c>
      <c r="F96" s="36" t="s">
        <v>31</v>
      </c>
      <c r="G96" s="36" t="s">
        <v>21</v>
      </c>
      <c r="H96" s="24">
        <v>0</v>
      </c>
      <c r="I96" s="24">
        <v>200</v>
      </c>
      <c r="J96" s="27">
        <v>5.1584000000000003</v>
      </c>
      <c r="K96" s="37">
        <v>0</v>
      </c>
      <c r="L96" s="38">
        <v>46174</v>
      </c>
      <c r="M96" s="12">
        <v>9.2499999999999999E-2</v>
      </c>
      <c r="N96" s="11">
        <f>_xlfn.XLOOKUP(E96,ICMS!C:C,ICMS!D:D)</f>
        <v>0.12</v>
      </c>
      <c r="O96" s="36">
        <f t="shared" si="4"/>
        <v>95</v>
      </c>
      <c r="P96" s="10"/>
      <c r="Q96" s="10" t="s">
        <v>140</v>
      </c>
      <c r="R96" s="28" t="s">
        <v>145</v>
      </c>
      <c r="S96" s="26" t="s">
        <v>176</v>
      </c>
    </row>
    <row r="97" spans="1:19" x14ac:dyDescent="0.3">
      <c r="A97" s="33" t="s">
        <v>15</v>
      </c>
      <c r="B97" s="34" t="s">
        <v>30</v>
      </c>
      <c r="C97" s="35" t="s">
        <v>80</v>
      </c>
      <c r="D97" s="36">
        <v>2</v>
      </c>
      <c r="E97" s="36" t="s">
        <v>27</v>
      </c>
      <c r="F97" s="36" t="s">
        <v>31</v>
      </c>
      <c r="G97" s="36" t="s">
        <v>21</v>
      </c>
      <c r="H97" s="24">
        <f t="shared" si="2"/>
        <v>200.01</v>
      </c>
      <c r="I97" s="24">
        <v>2000</v>
      </c>
      <c r="J97" s="27">
        <v>5.0138999999999996</v>
      </c>
      <c r="K97" s="37">
        <v>0</v>
      </c>
      <c r="L97" s="38">
        <v>46174</v>
      </c>
      <c r="M97" s="12">
        <v>9.2499999999999999E-2</v>
      </c>
      <c r="N97" s="11">
        <f>_xlfn.XLOOKUP(E97,ICMS!C:C,ICMS!D:D)</f>
        <v>0.12</v>
      </c>
      <c r="O97" s="36">
        <f t="shared" si="4"/>
        <v>96</v>
      </c>
      <c r="P97" s="10"/>
      <c r="Q97" s="10" t="s">
        <v>140</v>
      </c>
      <c r="R97" s="28" t="s">
        <v>145</v>
      </c>
      <c r="S97" s="26" t="s">
        <v>176</v>
      </c>
    </row>
    <row r="98" spans="1:19" x14ac:dyDescent="0.3">
      <c r="A98" s="33" t="s">
        <v>15</v>
      </c>
      <c r="B98" s="34" t="s">
        <v>30</v>
      </c>
      <c r="C98" s="35" t="s">
        <v>80</v>
      </c>
      <c r="D98" s="36">
        <v>3</v>
      </c>
      <c r="E98" s="36" t="s">
        <v>27</v>
      </c>
      <c r="F98" s="36" t="s">
        <v>31</v>
      </c>
      <c r="G98" s="36" t="s">
        <v>21</v>
      </c>
      <c r="H98" s="24">
        <f t="shared" si="2"/>
        <v>2000.01</v>
      </c>
      <c r="I98" s="24">
        <v>10000</v>
      </c>
      <c r="J98" s="27">
        <v>4.9272</v>
      </c>
      <c r="K98" s="37">
        <v>0</v>
      </c>
      <c r="L98" s="38">
        <v>46174</v>
      </c>
      <c r="M98" s="12">
        <v>9.2499999999999999E-2</v>
      </c>
      <c r="N98" s="11">
        <f>_xlfn.XLOOKUP(E98,ICMS!C:C,ICMS!D:D)</f>
        <v>0.12</v>
      </c>
      <c r="O98" s="36">
        <f t="shared" si="4"/>
        <v>97</v>
      </c>
      <c r="P98" s="10"/>
      <c r="Q98" s="10" t="s">
        <v>140</v>
      </c>
      <c r="R98" s="28" t="s">
        <v>145</v>
      </c>
      <c r="S98" s="26" t="s">
        <v>176</v>
      </c>
    </row>
    <row r="99" spans="1:19" x14ac:dyDescent="0.3">
      <c r="A99" s="33" t="s">
        <v>15</v>
      </c>
      <c r="B99" s="34" t="s">
        <v>30</v>
      </c>
      <c r="C99" s="35" t="s">
        <v>80</v>
      </c>
      <c r="D99" s="36">
        <v>4</v>
      </c>
      <c r="E99" s="36" t="s">
        <v>27</v>
      </c>
      <c r="F99" s="36" t="s">
        <v>31</v>
      </c>
      <c r="G99" s="36" t="s">
        <v>21</v>
      </c>
      <c r="H99" s="24">
        <f t="shared" si="2"/>
        <v>10000.01</v>
      </c>
      <c r="I99" s="24">
        <v>50000</v>
      </c>
      <c r="J99" s="27">
        <v>4.3289</v>
      </c>
      <c r="K99" s="37">
        <v>0</v>
      </c>
      <c r="L99" s="38">
        <v>46174</v>
      </c>
      <c r="M99" s="12">
        <v>9.2499999999999999E-2</v>
      </c>
      <c r="N99" s="11">
        <f>_xlfn.XLOOKUP(E99,ICMS!C:C,ICMS!D:D)</f>
        <v>0.12</v>
      </c>
      <c r="O99" s="36">
        <f t="shared" si="4"/>
        <v>98</v>
      </c>
      <c r="P99" s="10"/>
      <c r="Q99" s="10" t="s">
        <v>140</v>
      </c>
      <c r="R99" s="28" t="s">
        <v>145</v>
      </c>
      <c r="S99" s="26" t="s">
        <v>176</v>
      </c>
    </row>
    <row r="100" spans="1:19" x14ac:dyDescent="0.3">
      <c r="A100" s="33" t="s">
        <v>15</v>
      </c>
      <c r="B100" s="34" t="s">
        <v>30</v>
      </c>
      <c r="C100" s="35" t="s">
        <v>80</v>
      </c>
      <c r="D100" s="36">
        <v>5</v>
      </c>
      <c r="E100" s="36" t="s">
        <v>27</v>
      </c>
      <c r="F100" s="36" t="s">
        <v>31</v>
      </c>
      <c r="G100" s="36" t="s">
        <v>21</v>
      </c>
      <c r="H100" s="24">
        <f t="shared" si="2"/>
        <v>50000.01</v>
      </c>
      <c r="I100" s="24">
        <v>100000</v>
      </c>
      <c r="J100" s="27">
        <v>4.0705</v>
      </c>
      <c r="K100" s="37">
        <v>0</v>
      </c>
      <c r="L100" s="38">
        <v>46174</v>
      </c>
      <c r="M100" s="12">
        <v>9.2499999999999999E-2</v>
      </c>
      <c r="N100" s="11">
        <f>_xlfn.XLOOKUP(E100,ICMS!C:C,ICMS!D:D)</f>
        <v>0.12</v>
      </c>
      <c r="O100" s="36">
        <f t="shared" si="4"/>
        <v>99</v>
      </c>
      <c r="P100" s="10"/>
      <c r="Q100" s="10" t="s">
        <v>140</v>
      </c>
      <c r="R100" s="28" t="s">
        <v>145</v>
      </c>
      <c r="S100" s="26" t="s">
        <v>176</v>
      </c>
    </row>
    <row r="101" spans="1:19" x14ac:dyDescent="0.3">
      <c r="A101" s="33" t="s">
        <v>15</v>
      </c>
      <c r="B101" s="34" t="s">
        <v>30</v>
      </c>
      <c r="C101" s="35" t="s">
        <v>80</v>
      </c>
      <c r="D101" s="36">
        <v>6</v>
      </c>
      <c r="E101" s="36" t="s">
        <v>27</v>
      </c>
      <c r="F101" s="36" t="s">
        <v>31</v>
      </c>
      <c r="G101" s="36" t="s">
        <v>21</v>
      </c>
      <c r="H101" s="24">
        <f t="shared" si="2"/>
        <v>100000.01</v>
      </c>
      <c r="I101" s="24">
        <v>300000</v>
      </c>
      <c r="J101" s="27">
        <v>3.7934000000000001</v>
      </c>
      <c r="K101" s="37">
        <v>0</v>
      </c>
      <c r="L101" s="38">
        <v>46174</v>
      </c>
      <c r="M101" s="12">
        <v>9.2499999999999999E-2</v>
      </c>
      <c r="N101" s="11">
        <f>_xlfn.XLOOKUP(E101,ICMS!C:C,ICMS!D:D)</f>
        <v>0.12</v>
      </c>
      <c r="O101" s="36">
        <f t="shared" si="4"/>
        <v>100</v>
      </c>
      <c r="P101" s="10"/>
      <c r="Q101" s="10" t="s">
        <v>140</v>
      </c>
      <c r="R101" s="28" t="s">
        <v>145</v>
      </c>
      <c r="S101" s="26" t="s">
        <v>176</v>
      </c>
    </row>
    <row r="102" spans="1:19" x14ac:dyDescent="0.3">
      <c r="A102" s="33" t="s">
        <v>15</v>
      </c>
      <c r="B102" s="34" t="s">
        <v>30</v>
      </c>
      <c r="C102" s="35" t="s">
        <v>80</v>
      </c>
      <c r="D102" s="36">
        <v>7</v>
      </c>
      <c r="E102" s="36" t="s">
        <v>27</v>
      </c>
      <c r="F102" s="36" t="s">
        <v>31</v>
      </c>
      <c r="G102" s="36" t="s">
        <v>21</v>
      </c>
      <c r="H102" s="24">
        <f t="shared" si="2"/>
        <v>300000.01</v>
      </c>
      <c r="I102" s="24">
        <v>600000</v>
      </c>
      <c r="J102" s="27">
        <v>3.4661</v>
      </c>
      <c r="K102" s="37">
        <v>0</v>
      </c>
      <c r="L102" s="38">
        <v>46174</v>
      </c>
      <c r="M102" s="12">
        <v>9.2499999999999999E-2</v>
      </c>
      <c r="N102" s="11">
        <f>_xlfn.XLOOKUP(E102,ICMS!C:C,ICMS!D:D)</f>
        <v>0.12</v>
      </c>
      <c r="O102" s="36">
        <f t="shared" si="4"/>
        <v>101</v>
      </c>
      <c r="P102" s="10"/>
      <c r="Q102" s="10" t="s">
        <v>140</v>
      </c>
      <c r="R102" s="28" t="s">
        <v>145</v>
      </c>
      <c r="S102" s="26" t="s">
        <v>176</v>
      </c>
    </row>
    <row r="103" spans="1:19" x14ac:dyDescent="0.3">
      <c r="A103" s="33" t="s">
        <v>15</v>
      </c>
      <c r="B103" s="34" t="s">
        <v>30</v>
      </c>
      <c r="C103" s="35" t="s">
        <v>80</v>
      </c>
      <c r="D103" s="36">
        <v>8</v>
      </c>
      <c r="E103" s="36" t="s">
        <v>27</v>
      </c>
      <c r="F103" s="36" t="s">
        <v>31</v>
      </c>
      <c r="G103" s="36" t="s">
        <v>21</v>
      </c>
      <c r="H103" s="24">
        <f t="shared" si="2"/>
        <v>600000.01</v>
      </c>
      <c r="I103" s="24">
        <v>1500000</v>
      </c>
      <c r="J103" s="27">
        <v>3.4571000000000001</v>
      </c>
      <c r="K103" s="37">
        <v>0</v>
      </c>
      <c r="L103" s="38">
        <v>46174</v>
      </c>
      <c r="M103" s="12">
        <v>9.2499999999999999E-2</v>
      </c>
      <c r="N103" s="11">
        <f>_xlfn.XLOOKUP(E103,ICMS!C:C,ICMS!D:D)</f>
        <v>0.12</v>
      </c>
      <c r="O103" s="36">
        <f t="shared" si="4"/>
        <v>102</v>
      </c>
      <c r="P103" s="10"/>
      <c r="Q103" s="10" t="s">
        <v>140</v>
      </c>
      <c r="R103" s="28" t="s">
        <v>145</v>
      </c>
      <c r="S103" s="26" t="s">
        <v>176</v>
      </c>
    </row>
    <row r="104" spans="1:19" x14ac:dyDescent="0.3">
      <c r="A104" s="33" t="s">
        <v>15</v>
      </c>
      <c r="B104" s="34" t="s">
        <v>30</v>
      </c>
      <c r="C104" s="35" t="s">
        <v>80</v>
      </c>
      <c r="D104" s="36">
        <v>9</v>
      </c>
      <c r="E104" s="36" t="s">
        <v>27</v>
      </c>
      <c r="F104" s="36" t="s">
        <v>31</v>
      </c>
      <c r="G104" s="36" t="s">
        <v>21</v>
      </c>
      <c r="H104" s="24">
        <f t="shared" ref="H104:H166" si="6">I103+0.01</f>
        <v>1500000.01</v>
      </c>
      <c r="I104" s="24">
        <v>3000000</v>
      </c>
      <c r="J104" s="27">
        <v>3.4327999999999999</v>
      </c>
      <c r="K104" s="37">
        <v>0</v>
      </c>
      <c r="L104" s="38">
        <v>46174</v>
      </c>
      <c r="M104" s="12">
        <v>9.2499999999999999E-2</v>
      </c>
      <c r="N104" s="11">
        <f>_xlfn.XLOOKUP(E104,ICMS!C:C,ICMS!D:D)</f>
        <v>0.12</v>
      </c>
      <c r="O104" s="36">
        <f t="shared" si="4"/>
        <v>103</v>
      </c>
      <c r="P104" s="10"/>
      <c r="Q104" s="10" t="s">
        <v>140</v>
      </c>
      <c r="R104" s="28" t="s">
        <v>145</v>
      </c>
      <c r="S104" s="26" t="s">
        <v>176</v>
      </c>
    </row>
    <row r="105" spans="1:19" x14ac:dyDescent="0.3">
      <c r="A105" s="33" t="s">
        <v>15</v>
      </c>
      <c r="B105" s="34" t="s">
        <v>30</v>
      </c>
      <c r="C105" s="35" t="s">
        <v>80</v>
      </c>
      <c r="D105" s="36">
        <v>10</v>
      </c>
      <c r="E105" s="36" t="s">
        <v>27</v>
      </c>
      <c r="F105" s="36" t="s">
        <v>31</v>
      </c>
      <c r="G105" s="36" t="s">
        <v>21</v>
      </c>
      <c r="H105" s="24">
        <f t="shared" si="6"/>
        <v>3000000.01</v>
      </c>
      <c r="I105" s="24">
        <v>99999999999</v>
      </c>
      <c r="J105" s="27">
        <v>3.3525999999999998</v>
      </c>
      <c r="K105" s="37">
        <v>0</v>
      </c>
      <c r="L105" s="38">
        <v>46174</v>
      </c>
      <c r="M105" s="12">
        <v>9.2499999999999999E-2</v>
      </c>
      <c r="N105" s="11">
        <f>_xlfn.XLOOKUP(E105,ICMS!C:C,ICMS!D:D)</f>
        <v>0.12</v>
      </c>
      <c r="O105" s="36">
        <f t="shared" si="4"/>
        <v>104</v>
      </c>
      <c r="P105" s="10"/>
      <c r="Q105" s="10" t="s">
        <v>140</v>
      </c>
      <c r="R105" s="28" t="s">
        <v>145</v>
      </c>
      <c r="S105" s="26" t="s">
        <v>176</v>
      </c>
    </row>
    <row r="106" spans="1:19" s="35" customFormat="1" x14ac:dyDescent="0.3">
      <c r="A106" s="33" t="s">
        <v>18</v>
      </c>
      <c r="B106" s="34" t="s">
        <v>33</v>
      </c>
      <c r="C106" s="35" t="s">
        <v>46</v>
      </c>
      <c r="D106" s="36">
        <v>1</v>
      </c>
      <c r="E106" s="36" t="s">
        <v>33</v>
      </c>
      <c r="F106" s="36" t="s">
        <v>34</v>
      </c>
      <c r="G106" s="36" t="s">
        <v>32</v>
      </c>
      <c r="H106" s="24">
        <v>0</v>
      </c>
      <c r="I106" s="24">
        <v>7</v>
      </c>
      <c r="J106" s="27">
        <v>3.3883999999999999</v>
      </c>
      <c r="K106" s="37">
        <v>15.12</v>
      </c>
      <c r="L106" s="38">
        <v>46204</v>
      </c>
      <c r="M106" s="12">
        <v>9.2499999999999999E-2</v>
      </c>
      <c r="N106" s="11">
        <f>_xlfn.XLOOKUP(E106,ICMS!C:C,ICMS!D:D)</f>
        <v>0.12</v>
      </c>
      <c r="O106" s="36">
        <f t="shared" si="4"/>
        <v>105</v>
      </c>
      <c r="P106" s="36"/>
      <c r="Q106" s="36" t="s">
        <v>139</v>
      </c>
      <c r="R106" s="40" t="s">
        <v>146</v>
      </c>
      <c r="S106" s="39" t="s">
        <v>163</v>
      </c>
    </row>
    <row r="107" spans="1:19" s="35" customFormat="1" x14ac:dyDescent="0.3">
      <c r="A107" s="33" t="s">
        <v>18</v>
      </c>
      <c r="B107" s="34" t="s">
        <v>33</v>
      </c>
      <c r="C107" s="35" t="s">
        <v>46</v>
      </c>
      <c r="D107" s="36">
        <v>2</v>
      </c>
      <c r="E107" s="36" t="s">
        <v>33</v>
      </c>
      <c r="F107" s="36" t="s">
        <v>34</v>
      </c>
      <c r="G107" s="36" t="s">
        <v>32</v>
      </c>
      <c r="H107" s="24">
        <f t="shared" si="6"/>
        <v>7.01</v>
      </c>
      <c r="I107" s="24">
        <v>20</v>
      </c>
      <c r="J107" s="27">
        <v>3.3883999999999999</v>
      </c>
      <c r="K107" s="37">
        <v>16.13</v>
      </c>
      <c r="L107" s="38">
        <v>46204</v>
      </c>
      <c r="M107" s="12">
        <v>9.2499999999999999E-2</v>
      </c>
      <c r="N107" s="11">
        <f>_xlfn.XLOOKUP(E107,ICMS!C:C,ICMS!D:D)</f>
        <v>0.12</v>
      </c>
      <c r="O107" s="36">
        <f t="shared" si="4"/>
        <v>106</v>
      </c>
      <c r="P107" s="36"/>
      <c r="Q107" s="36" t="s">
        <v>139</v>
      </c>
      <c r="R107" s="40" t="s">
        <v>146</v>
      </c>
      <c r="S107" s="39" t="s">
        <v>163</v>
      </c>
    </row>
    <row r="108" spans="1:19" s="35" customFormat="1" x14ac:dyDescent="0.3">
      <c r="A108" s="33" t="s">
        <v>18</v>
      </c>
      <c r="B108" s="34" t="s">
        <v>33</v>
      </c>
      <c r="C108" s="35" t="s">
        <v>46</v>
      </c>
      <c r="D108" s="36">
        <v>3</v>
      </c>
      <c r="E108" s="36" t="s">
        <v>33</v>
      </c>
      <c r="F108" s="36" t="s">
        <v>34</v>
      </c>
      <c r="G108" s="36" t="s">
        <v>32</v>
      </c>
      <c r="H108" s="24">
        <f t="shared" si="6"/>
        <v>20.010000000000002</v>
      </c>
      <c r="I108" s="24">
        <v>30</v>
      </c>
      <c r="J108" s="27">
        <v>3.3883999999999999</v>
      </c>
      <c r="K108" s="37">
        <v>20.170000000000002</v>
      </c>
      <c r="L108" s="38">
        <v>46204</v>
      </c>
      <c r="M108" s="12">
        <v>9.2499999999999999E-2</v>
      </c>
      <c r="N108" s="11">
        <f>_xlfn.XLOOKUP(E108,ICMS!C:C,ICMS!D:D)</f>
        <v>0.12</v>
      </c>
      <c r="O108" s="36">
        <f t="shared" si="4"/>
        <v>107</v>
      </c>
      <c r="P108" s="36"/>
      <c r="Q108" s="36" t="s">
        <v>139</v>
      </c>
      <c r="R108" s="40" t="s">
        <v>146</v>
      </c>
      <c r="S108" s="39" t="s">
        <v>163</v>
      </c>
    </row>
    <row r="109" spans="1:19" s="35" customFormat="1" x14ac:dyDescent="0.3">
      <c r="A109" s="33" t="s">
        <v>18</v>
      </c>
      <c r="B109" s="34" t="s">
        <v>33</v>
      </c>
      <c r="C109" s="35" t="s">
        <v>46</v>
      </c>
      <c r="D109" s="36">
        <v>4</v>
      </c>
      <c r="E109" s="36" t="s">
        <v>33</v>
      </c>
      <c r="F109" s="36" t="s">
        <v>34</v>
      </c>
      <c r="G109" s="36" t="s">
        <v>32</v>
      </c>
      <c r="H109" s="24">
        <f t="shared" si="6"/>
        <v>30.01</v>
      </c>
      <c r="I109" s="24">
        <v>99999999999</v>
      </c>
      <c r="J109" s="27">
        <v>3.3883999999999999</v>
      </c>
      <c r="K109" s="37">
        <v>35.29</v>
      </c>
      <c r="L109" s="38">
        <v>46204</v>
      </c>
      <c r="M109" s="12">
        <v>9.2499999999999999E-2</v>
      </c>
      <c r="N109" s="11">
        <f>_xlfn.XLOOKUP(E109,ICMS!C:C,ICMS!D:D)</f>
        <v>0.12</v>
      </c>
      <c r="O109" s="36">
        <f t="shared" si="4"/>
        <v>108</v>
      </c>
      <c r="P109" s="36"/>
      <c r="Q109" s="36" t="s">
        <v>139</v>
      </c>
      <c r="R109" s="40" t="s">
        <v>146</v>
      </c>
      <c r="S109" s="39" t="s">
        <v>163</v>
      </c>
    </row>
    <row r="110" spans="1:19" s="35" customFormat="1" x14ac:dyDescent="0.3">
      <c r="A110" s="33" t="s">
        <v>8</v>
      </c>
      <c r="B110" s="34" t="s">
        <v>33</v>
      </c>
      <c r="C110" s="35" t="s">
        <v>46</v>
      </c>
      <c r="D110" s="36">
        <v>1</v>
      </c>
      <c r="E110" s="36" t="s">
        <v>33</v>
      </c>
      <c r="F110" s="36" t="s">
        <v>34</v>
      </c>
      <c r="G110" s="36" t="s">
        <v>35</v>
      </c>
      <c r="H110" s="24">
        <v>0</v>
      </c>
      <c r="I110" s="24">
        <v>60</v>
      </c>
      <c r="J110" s="27">
        <v>4.3967000000000001</v>
      </c>
      <c r="K110" s="37">
        <v>29.67</v>
      </c>
      <c r="L110" s="38">
        <v>46204</v>
      </c>
      <c r="M110" s="12">
        <v>9.2499999999999999E-2</v>
      </c>
      <c r="N110" s="11">
        <f>_xlfn.XLOOKUP(E110,ICMS!C:C,ICMS!D:D)</f>
        <v>0.12</v>
      </c>
      <c r="O110" s="36">
        <f t="shared" si="4"/>
        <v>109</v>
      </c>
      <c r="P110" s="36"/>
      <c r="Q110" s="36" t="s">
        <v>139</v>
      </c>
      <c r="R110" s="40" t="s">
        <v>146</v>
      </c>
      <c r="S110" s="39" t="s">
        <v>163</v>
      </c>
    </row>
    <row r="111" spans="1:19" s="35" customFormat="1" x14ac:dyDescent="0.3">
      <c r="A111" s="33" t="s">
        <v>8</v>
      </c>
      <c r="B111" s="34" t="s">
        <v>33</v>
      </c>
      <c r="C111" s="35" t="s">
        <v>46</v>
      </c>
      <c r="D111" s="36">
        <v>2</v>
      </c>
      <c r="E111" s="36" t="s">
        <v>33</v>
      </c>
      <c r="F111" s="36" t="s">
        <v>34</v>
      </c>
      <c r="G111" s="36" t="s">
        <v>35</v>
      </c>
      <c r="H111" s="24">
        <f t="shared" si="6"/>
        <v>60.01</v>
      </c>
      <c r="I111" s="24">
        <v>100</v>
      </c>
      <c r="J111" s="27">
        <v>4.2957999999999998</v>
      </c>
      <c r="K111" s="37">
        <v>44.5</v>
      </c>
      <c r="L111" s="38">
        <v>46204</v>
      </c>
      <c r="M111" s="12">
        <v>9.2499999999999999E-2</v>
      </c>
      <c r="N111" s="11">
        <f>_xlfn.XLOOKUP(E111,ICMS!C:C,ICMS!D:D)</f>
        <v>0.12</v>
      </c>
      <c r="O111" s="36">
        <f t="shared" si="4"/>
        <v>110</v>
      </c>
      <c r="P111" s="36"/>
      <c r="Q111" s="36" t="s">
        <v>139</v>
      </c>
      <c r="R111" s="40" t="s">
        <v>146</v>
      </c>
      <c r="S111" s="39" t="s">
        <v>163</v>
      </c>
    </row>
    <row r="112" spans="1:19" s="35" customFormat="1" x14ac:dyDescent="0.3">
      <c r="A112" s="33" t="s">
        <v>8</v>
      </c>
      <c r="B112" s="34" t="s">
        <v>33</v>
      </c>
      <c r="C112" s="35" t="s">
        <v>46</v>
      </c>
      <c r="D112" s="36">
        <v>3</v>
      </c>
      <c r="E112" s="36" t="s">
        <v>33</v>
      </c>
      <c r="F112" s="36" t="s">
        <v>34</v>
      </c>
      <c r="G112" s="36" t="s">
        <v>35</v>
      </c>
      <c r="H112" s="24">
        <f t="shared" si="6"/>
        <v>100.01</v>
      </c>
      <c r="I112" s="24">
        <v>200</v>
      </c>
      <c r="J112" s="27">
        <v>4.2454000000000001</v>
      </c>
      <c r="K112" s="37">
        <v>79.12</v>
      </c>
      <c r="L112" s="38">
        <v>46204</v>
      </c>
      <c r="M112" s="12">
        <v>9.2499999999999999E-2</v>
      </c>
      <c r="N112" s="11">
        <f>_xlfn.XLOOKUP(E112,ICMS!C:C,ICMS!D:D)</f>
        <v>0.12</v>
      </c>
      <c r="O112" s="36">
        <f t="shared" si="4"/>
        <v>111</v>
      </c>
      <c r="P112" s="36"/>
      <c r="Q112" s="36" t="s">
        <v>139</v>
      </c>
      <c r="R112" s="40" t="s">
        <v>146</v>
      </c>
      <c r="S112" s="39" t="s">
        <v>163</v>
      </c>
    </row>
    <row r="113" spans="1:19" s="35" customFormat="1" x14ac:dyDescent="0.3">
      <c r="A113" s="33" t="s">
        <v>8</v>
      </c>
      <c r="B113" s="34" t="s">
        <v>33</v>
      </c>
      <c r="C113" s="35" t="s">
        <v>46</v>
      </c>
      <c r="D113" s="36">
        <v>4</v>
      </c>
      <c r="E113" s="36" t="s">
        <v>33</v>
      </c>
      <c r="F113" s="36" t="s">
        <v>34</v>
      </c>
      <c r="G113" s="36" t="s">
        <v>35</v>
      </c>
      <c r="H113" s="24">
        <f t="shared" si="6"/>
        <v>200.01</v>
      </c>
      <c r="I113" s="24">
        <v>500</v>
      </c>
      <c r="J113" s="27">
        <v>4.1950000000000003</v>
      </c>
      <c r="K113" s="37">
        <v>148.35</v>
      </c>
      <c r="L113" s="38">
        <v>46204</v>
      </c>
      <c r="M113" s="12">
        <v>9.2499999999999999E-2</v>
      </c>
      <c r="N113" s="11">
        <f>_xlfn.XLOOKUP(E113,ICMS!C:C,ICMS!D:D)</f>
        <v>0.12</v>
      </c>
      <c r="O113" s="36">
        <f t="shared" si="4"/>
        <v>112</v>
      </c>
      <c r="P113" s="36"/>
      <c r="Q113" s="36" t="s">
        <v>139</v>
      </c>
      <c r="R113" s="40" t="s">
        <v>146</v>
      </c>
      <c r="S113" s="39" t="s">
        <v>163</v>
      </c>
    </row>
    <row r="114" spans="1:19" s="35" customFormat="1" x14ac:dyDescent="0.3">
      <c r="A114" s="33" t="s">
        <v>8</v>
      </c>
      <c r="B114" s="34" t="s">
        <v>33</v>
      </c>
      <c r="C114" s="35" t="s">
        <v>46</v>
      </c>
      <c r="D114" s="36">
        <v>5</v>
      </c>
      <c r="E114" s="36" t="s">
        <v>33</v>
      </c>
      <c r="F114" s="36" t="s">
        <v>34</v>
      </c>
      <c r="G114" s="36" t="s">
        <v>35</v>
      </c>
      <c r="H114" s="24">
        <f t="shared" si="6"/>
        <v>500.01</v>
      </c>
      <c r="I114" s="24">
        <v>99999999999</v>
      </c>
      <c r="J114" s="27">
        <v>4.1950000000000003</v>
      </c>
      <c r="K114" s="37">
        <v>247.25</v>
      </c>
      <c r="L114" s="38">
        <v>46204</v>
      </c>
      <c r="M114" s="12">
        <v>9.2499999999999999E-2</v>
      </c>
      <c r="N114" s="11">
        <f>_xlfn.XLOOKUP(E114,ICMS!C:C,ICMS!D:D)</f>
        <v>0.12</v>
      </c>
      <c r="O114" s="36">
        <f t="shared" si="4"/>
        <v>113</v>
      </c>
      <c r="P114" s="36"/>
      <c r="Q114" s="36" t="s">
        <v>139</v>
      </c>
      <c r="R114" s="40" t="s">
        <v>146</v>
      </c>
      <c r="S114" s="39" t="s">
        <v>163</v>
      </c>
    </row>
    <row r="115" spans="1:19" s="35" customFormat="1" x14ac:dyDescent="0.3">
      <c r="A115" s="33" t="s">
        <v>13</v>
      </c>
      <c r="B115" s="34" t="s">
        <v>33</v>
      </c>
      <c r="C115" s="35" t="s">
        <v>46</v>
      </c>
      <c r="D115" s="36">
        <v>1</v>
      </c>
      <c r="E115" s="36" t="s">
        <v>33</v>
      </c>
      <c r="F115" s="36" t="s">
        <v>34</v>
      </c>
      <c r="G115" s="36" t="s">
        <v>14</v>
      </c>
      <c r="H115" s="24">
        <v>0</v>
      </c>
      <c r="I115" s="24">
        <v>50</v>
      </c>
      <c r="J115" s="27">
        <v>4.5681000000000003</v>
      </c>
      <c r="K115" s="37">
        <v>45.37</v>
      </c>
      <c r="L115" s="38">
        <v>46204</v>
      </c>
      <c r="M115" s="12">
        <v>9.2499999999999999E-2</v>
      </c>
      <c r="N115" s="11">
        <f>_xlfn.XLOOKUP(E115,ICMS!C:C,ICMS!D:D)</f>
        <v>0.12</v>
      </c>
      <c r="O115" s="36">
        <f t="shared" si="4"/>
        <v>114</v>
      </c>
      <c r="P115" s="36"/>
      <c r="Q115" s="36" t="s">
        <v>139</v>
      </c>
      <c r="R115" s="40" t="s">
        <v>146</v>
      </c>
      <c r="S115" s="39" t="s">
        <v>163</v>
      </c>
    </row>
    <row r="116" spans="1:19" s="35" customFormat="1" x14ac:dyDescent="0.3">
      <c r="A116" s="33" t="s">
        <v>13</v>
      </c>
      <c r="B116" s="34" t="s">
        <v>33</v>
      </c>
      <c r="C116" s="35" t="s">
        <v>46</v>
      </c>
      <c r="D116" s="36">
        <v>2</v>
      </c>
      <c r="E116" s="36" t="s">
        <v>33</v>
      </c>
      <c r="F116" s="36" t="s">
        <v>34</v>
      </c>
      <c r="G116" s="36" t="s">
        <v>14</v>
      </c>
      <c r="H116" s="24">
        <f t="shared" si="6"/>
        <v>50.01</v>
      </c>
      <c r="I116" s="24">
        <v>200</v>
      </c>
      <c r="J116" s="27">
        <v>4.4672999999999998</v>
      </c>
      <c r="K116" s="37">
        <v>60.5</v>
      </c>
      <c r="L116" s="38">
        <v>46204</v>
      </c>
      <c r="M116" s="12">
        <v>9.2499999999999999E-2</v>
      </c>
      <c r="N116" s="11">
        <f>_xlfn.XLOOKUP(E116,ICMS!C:C,ICMS!D:D)</f>
        <v>0.12</v>
      </c>
      <c r="O116" s="36">
        <f t="shared" si="4"/>
        <v>115</v>
      </c>
      <c r="P116" s="36"/>
      <c r="Q116" s="36" t="s">
        <v>139</v>
      </c>
      <c r="R116" s="40" t="s">
        <v>146</v>
      </c>
      <c r="S116" s="39" t="s">
        <v>163</v>
      </c>
    </row>
    <row r="117" spans="1:19" s="35" customFormat="1" x14ac:dyDescent="0.3">
      <c r="A117" s="33" t="s">
        <v>13</v>
      </c>
      <c r="B117" s="34" t="s">
        <v>33</v>
      </c>
      <c r="C117" s="35" t="s">
        <v>46</v>
      </c>
      <c r="D117" s="36">
        <v>3</v>
      </c>
      <c r="E117" s="36" t="s">
        <v>33</v>
      </c>
      <c r="F117" s="36" t="s">
        <v>34</v>
      </c>
      <c r="G117" s="36" t="s">
        <v>14</v>
      </c>
      <c r="H117" s="24">
        <f t="shared" si="6"/>
        <v>200.01</v>
      </c>
      <c r="I117" s="24">
        <v>500</v>
      </c>
      <c r="J117" s="27">
        <v>4.2152000000000003</v>
      </c>
      <c r="K117" s="37">
        <v>110.91</v>
      </c>
      <c r="L117" s="38">
        <v>46204</v>
      </c>
      <c r="M117" s="12">
        <v>9.2499999999999999E-2</v>
      </c>
      <c r="N117" s="11">
        <f>_xlfn.XLOOKUP(E117,ICMS!C:C,ICMS!D:D)</f>
        <v>0.12</v>
      </c>
      <c r="O117" s="36">
        <f t="shared" si="4"/>
        <v>116</v>
      </c>
      <c r="P117" s="36"/>
      <c r="Q117" s="36" t="s">
        <v>139</v>
      </c>
      <c r="R117" s="40" t="s">
        <v>146</v>
      </c>
      <c r="S117" s="39" t="s">
        <v>163</v>
      </c>
    </row>
    <row r="118" spans="1:19" s="35" customFormat="1" x14ac:dyDescent="0.3">
      <c r="A118" s="33" t="s">
        <v>13</v>
      </c>
      <c r="B118" s="34" t="s">
        <v>33</v>
      </c>
      <c r="C118" s="35" t="s">
        <v>46</v>
      </c>
      <c r="D118" s="36">
        <v>4</v>
      </c>
      <c r="E118" s="36" t="s">
        <v>33</v>
      </c>
      <c r="F118" s="36" t="s">
        <v>34</v>
      </c>
      <c r="G118" s="36" t="s">
        <v>14</v>
      </c>
      <c r="H118" s="24">
        <f t="shared" si="6"/>
        <v>500.01</v>
      </c>
      <c r="I118" s="24">
        <v>1000</v>
      </c>
      <c r="J118" s="27">
        <v>4.1848999999999998</v>
      </c>
      <c r="K118" s="37">
        <v>171.41</v>
      </c>
      <c r="L118" s="38">
        <v>46204</v>
      </c>
      <c r="M118" s="12">
        <v>9.2499999999999999E-2</v>
      </c>
      <c r="N118" s="11">
        <f>_xlfn.XLOOKUP(E118,ICMS!C:C,ICMS!D:D)</f>
        <v>0.12</v>
      </c>
      <c r="O118" s="36">
        <f t="shared" si="4"/>
        <v>117</v>
      </c>
      <c r="P118" s="36"/>
      <c r="Q118" s="36" t="s">
        <v>139</v>
      </c>
      <c r="R118" s="40" t="s">
        <v>146</v>
      </c>
      <c r="S118" s="39" t="s">
        <v>163</v>
      </c>
    </row>
    <row r="119" spans="1:19" s="35" customFormat="1" x14ac:dyDescent="0.3">
      <c r="A119" s="33" t="s">
        <v>13</v>
      </c>
      <c r="B119" s="34" t="s">
        <v>33</v>
      </c>
      <c r="C119" s="35" t="s">
        <v>46</v>
      </c>
      <c r="D119" s="36">
        <v>5</v>
      </c>
      <c r="E119" s="36" t="s">
        <v>33</v>
      </c>
      <c r="F119" s="36" t="s">
        <v>34</v>
      </c>
      <c r="G119" s="36" t="s">
        <v>14</v>
      </c>
      <c r="H119" s="24">
        <f t="shared" si="6"/>
        <v>1000.01</v>
      </c>
      <c r="I119" s="24">
        <v>3500</v>
      </c>
      <c r="J119" s="27">
        <v>4.0438000000000001</v>
      </c>
      <c r="K119" s="37">
        <v>564.63</v>
      </c>
      <c r="L119" s="38">
        <v>46204</v>
      </c>
      <c r="M119" s="12">
        <v>9.2499999999999999E-2</v>
      </c>
      <c r="N119" s="11">
        <f>_xlfn.XLOOKUP(E119,ICMS!C:C,ICMS!D:D)</f>
        <v>0.12</v>
      </c>
      <c r="O119" s="36">
        <f t="shared" si="4"/>
        <v>118</v>
      </c>
      <c r="P119" s="36"/>
      <c r="Q119" s="36" t="s">
        <v>139</v>
      </c>
      <c r="R119" s="40" t="s">
        <v>146</v>
      </c>
      <c r="S119" s="39" t="s">
        <v>163</v>
      </c>
    </row>
    <row r="120" spans="1:19" s="35" customFormat="1" x14ac:dyDescent="0.3">
      <c r="A120" s="33" t="s">
        <v>13</v>
      </c>
      <c r="B120" s="34" t="s">
        <v>33</v>
      </c>
      <c r="C120" s="35" t="s">
        <v>46</v>
      </c>
      <c r="D120" s="36">
        <v>6</v>
      </c>
      <c r="E120" s="36" t="s">
        <v>33</v>
      </c>
      <c r="F120" s="36" t="s">
        <v>34</v>
      </c>
      <c r="G120" s="36" t="s">
        <v>14</v>
      </c>
      <c r="H120" s="24">
        <f t="shared" si="6"/>
        <v>3500.01</v>
      </c>
      <c r="I120" s="24">
        <v>6000</v>
      </c>
      <c r="J120" s="27">
        <v>3.9430000000000001</v>
      </c>
      <c r="K120" s="37">
        <v>1310.75</v>
      </c>
      <c r="L120" s="38">
        <v>46204</v>
      </c>
      <c r="M120" s="12">
        <v>9.2499999999999999E-2</v>
      </c>
      <c r="N120" s="11">
        <f>_xlfn.XLOOKUP(E120,ICMS!C:C,ICMS!D:D)</f>
        <v>0.12</v>
      </c>
      <c r="O120" s="36">
        <f t="shared" si="4"/>
        <v>119</v>
      </c>
      <c r="P120" s="36"/>
      <c r="Q120" s="36" t="s">
        <v>139</v>
      </c>
      <c r="R120" s="40" t="s">
        <v>146</v>
      </c>
      <c r="S120" s="39" t="s">
        <v>163</v>
      </c>
    </row>
    <row r="121" spans="1:19" s="35" customFormat="1" x14ac:dyDescent="0.3">
      <c r="A121" s="33" t="s">
        <v>13</v>
      </c>
      <c r="B121" s="34" t="s">
        <v>33</v>
      </c>
      <c r="C121" s="35" t="s">
        <v>46</v>
      </c>
      <c r="D121" s="36">
        <v>7</v>
      </c>
      <c r="E121" s="36" t="s">
        <v>33</v>
      </c>
      <c r="F121" s="36" t="s">
        <v>34</v>
      </c>
      <c r="G121" s="36" t="s">
        <v>14</v>
      </c>
      <c r="H121" s="24">
        <f t="shared" si="6"/>
        <v>6000.01</v>
      </c>
      <c r="I121" s="24">
        <v>99999999999</v>
      </c>
      <c r="J121" s="27">
        <v>3.8018000000000001</v>
      </c>
      <c r="K121" s="37">
        <v>2823.15</v>
      </c>
      <c r="L121" s="38">
        <v>46204</v>
      </c>
      <c r="M121" s="12">
        <v>9.2499999999999999E-2</v>
      </c>
      <c r="N121" s="11">
        <f>_xlfn.XLOOKUP(E121,ICMS!C:C,ICMS!D:D)</f>
        <v>0.12</v>
      </c>
      <c r="O121" s="36">
        <f t="shared" si="4"/>
        <v>120</v>
      </c>
      <c r="P121" s="36"/>
      <c r="Q121" s="36" t="s">
        <v>139</v>
      </c>
      <c r="R121" s="40" t="s">
        <v>146</v>
      </c>
      <c r="S121" s="39" t="s">
        <v>163</v>
      </c>
    </row>
    <row r="122" spans="1:19" s="35" customFormat="1" x14ac:dyDescent="0.3">
      <c r="A122" s="33" t="s">
        <v>15</v>
      </c>
      <c r="B122" s="34" t="s">
        <v>33</v>
      </c>
      <c r="C122" s="35" t="s">
        <v>46</v>
      </c>
      <c r="D122" s="36">
        <v>1</v>
      </c>
      <c r="E122" s="36" t="s">
        <v>33</v>
      </c>
      <c r="F122" s="36" t="s">
        <v>34</v>
      </c>
      <c r="G122" s="36" t="s">
        <v>21</v>
      </c>
      <c r="H122" s="24">
        <v>0</v>
      </c>
      <c r="I122" s="24">
        <v>1000</v>
      </c>
      <c r="J122" s="27">
        <v>5.1631</v>
      </c>
      <c r="K122" s="37">
        <v>97.51</v>
      </c>
      <c r="L122" s="38">
        <v>46204</v>
      </c>
      <c r="M122" s="12">
        <v>9.2499999999999999E-2</v>
      </c>
      <c r="N122" s="11">
        <f>_xlfn.XLOOKUP(E122,ICMS!C:C,ICMS!D:D)</f>
        <v>0.12</v>
      </c>
      <c r="O122" s="36">
        <f t="shared" si="4"/>
        <v>121</v>
      </c>
      <c r="P122" s="36"/>
      <c r="Q122" s="36" t="s">
        <v>139</v>
      </c>
      <c r="R122" s="40" t="s">
        <v>146</v>
      </c>
      <c r="S122" s="39" t="s">
        <v>163</v>
      </c>
    </row>
    <row r="123" spans="1:19" s="35" customFormat="1" x14ac:dyDescent="0.3">
      <c r="A123" s="33" t="s">
        <v>15</v>
      </c>
      <c r="B123" s="34" t="s">
        <v>33</v>
      </c>
      <c r="C123" s="35" t="s">
        <v>46</v>
      </c>
      <c r="D123" s="36">
        <v>2</v>
      </c>
      <c r="E123" s="36" t="s">
        <v>33</v>
      </c>
      <c r="F123" s="36" t="s">
        <v>34</v>
      </c>
      <c r="G123" s="36" t="s">
        <v>21</v>
      </c>
      <c r="H123" s="24">
        <f t="shared" si="6"/>
        <v>1000.01</v>
      </c>
      <c r="I123" s="24">
        <v>5000</v>
      </c>
      <c r="J123" s="27">
        <v>3.6055000000000001</v>
      </c>
      <c r="K123" s="37">
        <v>1655.58</v>
      </c>
      <c r="L123" s="38">
        <v>46204</v>
      </c>
      <c r="M123" s="12">
        <v>9.2499999999999999E-2</v>
      </c>
      <c r="N123" s="11">
        <f>_xlfn.XLOOKUP(E123,ICMS!C:C,ICMS!D:D)</f>
        <v>0.12</v>
      </c>
      <c r="O123" s="36">
        <f t="shared" si="4"/>
        <v>122</v>
      </c>
      <c r="P123" s="36"/>
      <c r="Q123" s="36" t="s">
        <v>139</v>
      </c>
      <c r="R123" s="40" t="s">
        <v>146</v>
      </c>
      <c r="S123" s="39" t="s">
        <v>163</v>
      </c>
    </row>
    <row r="124" spans="1:19" s="35" customFormat="1" x14ac:dyDescent="0.3">
      <c r="A124" s="33" t="s">
        <v>15</v>
      </c>
      <c r="B124" s="34" t="s">
        <v>33</v>
      </c>
      <c r="C124" s="35" t="s">
        <v>46</v>
      </c>
      <c r="D124" s="36">
        <v>3</v>
      </c>
      <c r="E124" s="36" t="s">
        <v>33</v>
      </c>
      <c r="F124" s="36" t="s">
        <v>34</v>
      </c>
      <c r="G124" s="36" t="s">
        <v>21</v>
      </c>
      <c r="H124" s="24">
        <f t="shared" si="6"/>
        <v>5000.01</v>
      </c>
      <c r="I124" s="24">
        <v>50000</v>
      </c>
      <c r="J124" s="27">
        <v>3.0687000000000002</v>
      </c>
      <c r="K124" s="37">
        <v>4341.45</v>
      </c>
      <c r="L124" s="38">
        <v>46204</v>
      </c>
      <c r="M124" s="12">
        <v>9.2499999999999999E-2</v>
      </c>
      <c r="N124" s="11">
        <f>_xlfn.XLOOKUP(E124,ICMS!C:C,ICMS!D:D)</f>
        <v>0.12</v>
      </c>
      <c r="O124" s="36">
        <f t="shared" si="4"/>
        <v>123</v>
      </c>
      <c r="P124" s="36"/>
      <c r="Q124" s="36" t="s">
        <v>139</v>
      </c>
      <c r="R124" s="40" t="s">
        <v>146</v>
      </c>
      <c r="S124" s="39" t="s">
        <v>163</v>
      </c>
    </row>
    <row r="125" spans="1:19" s="35" customFormat="1" x14ac:dyDescent="0.3">
      <c r="A125" s="33" t="s">
        <v>15</v>
      </c>
      <c r="B125" s="34" t="s">
        <v>33</v>
      </c>
      <c r="C125" s="35" t="s">
        <v>46</v>
      </c>
      <c r="D125" s="36">
        <v>4</v>
      </c>
      <c r="E125" s="36" t="s">
        <v>33</v>
      </c>
      <c r="F125" s="36" t="s">
        <v>34</v>
      </c>
      <c r="G125" s="36" t="s">
        <v>21</v>
      </c>
      <c r="H125" s="24">
        <f t="shared" si="6"/>
        <v>50000.01</v>
      </c>
      <c r="I125" s="24">
        <v>300000</v>
      </c>
      <c r="J125" s="27">
        <v>2.9956</v>
      </c>
      <c r="K125" s="37">
        <v>8046.33</v>
      </c>
      <c r="L125" s="38">
        <v>46204</v>
      </c>
      <c r="M125" s="12">
        <v>9.2499999999999999E-2</v>
      </c>
      <c r="N125" s="11">
        <f>_xlfn.XLOOKUP(E125,ICMS!C:C,ICMS!D:D)</f>
        <v>0.12</v>
      </c>
      <c r="O125" s="36">
        <f t="shared" si="4"/>
        <v>124</v>
      </c>
      <c r="P125" s="36"/>
      <c r="Q125" s="36" t="s">
        <v>139</v>
      </c>
      <c r="R125" s="40" t="s">
        <v>146</v>
      </c>
      <c r="S125" s="39" t="s">
        <v>163</v>
      </c>
    </row>
    <row r="126" spans="1:19" s="35" customFormat="1" x14ac:dyDescent="0.3">
      <c r="A126" s="33" t="s">
        <v>15</v>
      </c>
      <c r="B126" s="34" t="s">
        <v>33</v>
      </c>
      <c r="C126" s="35" t="s">
        <v>46</v>
      </c>
      <c r="D126" s="36">
        <v>5</v>
      </c>
      <c r="E126" s="36" t="s">
        <v>33</v>
      </c>
      <c r="F126" s="36" t="s">
        <v>34</v>
      </c>
      <c r="G126" s="36" t="s">
        <v>21</v>
      </c>
      <c r="H126" s="24">
        <f t="shared" si="6"/>
        <v>300000.01</v>
      </c>
      <c r="I126" s="24">
        <v>500000</v>
      </c>
      <c r="J126" s="27">
        <v>2.9335</v>
      </c>
      <c r="K126" s="37">
        <v>20690.55</v>
      </c>
      <c r="L126" s="38">
        <v>46204</v>
      </c>
      <c r="M126" s="12">
        <v>9.2499999999999999E-2</v>
      </c>
      <c r="N126" s="11">
        <f>_xlfn.XLOOKUP(E126,ICMS!C:C,ICMS!D:D)</f>
        <v>0.12</v>
      </c>
      <c r="O126" s="36">
        <f t="shared" si="4"/>
        <v>125</v>
      </c>
      <c r="P126" s="36"/>
      <c r="Q126" s="36" t="s">
        <v>139</v>
      </c>
      <c r="R126" s="40" t="s">
        <v>146</v>
      </c>
      <c r="S126" s="39" t="s">
        <v>163</v>
      </c>
    </row>
    <row r="127" spans="1:19" s="35" customFormat="1" x14ac:dyDescent="0.3">
      <c r="A127" s="33" t="s">
        <v>15</v>
      </c>
      <c r="B127" s="34" t="s">
        <v>33</v>
      </c>
      <c r="C127" s="35" t="s">
        <v>46</v>
      </c>
      <c r="D127" s="36">
        <v>6</v>
      </c>
      <c r="E127" s="36" t="s">
        <v>33</v>
      </c>
      <c r="F127" s="36" t="s">
        <v>34</v>
      </c>
      <c r="G127" s="36" t="s">
        <v>21</v>
      </c>
      <c r="H127" s="24">
        <f t="shared" si="6"/>
        <v>500000.01</v>
      </c>
      <c r="I127" s="24">
        <v>1000000</v>
      </c>
      <c r="J127" s="27">
        <v>2.8982999999999999</v>
      </c>
      <c r="K127" s="37">
        <v>48301.09</v>
      </c>
      <c r="L127" s="38">
        <v>46204</v>
      </c>
      <c r="M127" s="12">
        <v>9.2499999999999999E-2</v>
      </c>
      <c r="N127" s="11">
        <f>_xlfn.XLOOKUP(E127,ICMS!C:C,ICMS!D:D)</f>
        <v>0.12</v>
      </c>
      <c r="O127" s="36">
        <f t="shared" si="4"/>
        <v>126</v>
      </c>
      <c r="P127" s="36"/>
      <c r="Q127" s="36" t="s">
        <v>139</v>
      </c>
      <c r="R127" s="40" t="s">
        <v>146</v>
      </c>
      <c r="S127" s="39" t="s">
        <v>163</v>
      </c>
    </row>
    <row r="128" spans="1:19" s="35" customFormat="1" x14ac:dyDescent="0.3">
      <c r="A128" s="33" t="s">
        <v>15</v>
      </c>
      <c r="B128" s="34" t="s">
        <v>33</v>
      </c>
      <c r="C128" s="35" t="s">
        <v>46</v>
      </c>
      <c r="D128" s="36">
        <v>7</v>
      </c>
      <c r="E128" s="36" t="s">
        <v>33</v>
      </c>
      <c r="F128" s="36" t="s">
        <v>34</v>
      </c>
      <c r="G128" s="36" t="s">
        <v>21</v>
      </c>
      <c r="H128" s="24">
        <f t="shared" si="6"/>
        <v>1000000.01</v>
      </c>
      <c r="I128" s="24">
        <v>10000000</v>
      </c>
      <c r="J128" s="27">
        <v>2.8024</v>
      </c>
      <c r="K128" s="37">
        <v>144464.26</v>
      </c>
      <c r="L128" s="38">
        <v>46204</v>
      </c>
      <c r="M128" s="12">
        <v>9.2499999999999999E-2</v>
      </c>
      <c r="N128" s="11">
        <f>_xlfn.XLOOKUP(E128,ICMS!C:C,ICMS!D:D)</f>
        <v>0.12</v>
      </c>
      <c r="O128" s="36">
        <f t="shared" si="4"/>
        <v>127</v>
      </c>
      <c r="P128" s="36"/>
      <c r="Q128" s="36" t="s">
        <v>139</v>
      </c>
      <c r="R128" s="40" t="s">
        <v>146</v>
      </c>
      <c r="S128" s="39" t="s">
        <v>163</v>
      </c>
    </row>
    <row r="129" spans="1:19" s="35" customFormat="1" x14ac:dyDescent="0.3">
      <c r="A129" s="33" t="s">
        <v>15</v>
      </c>
      <c r="B129" s="34" t="s">
        <v>33</v>
      </c>
      <c r="C129" s="35" t="s">
        <v>46</v>
      </c>
      <c r="D129" s="36">
        <v>8</v>
      </c>
      <c r="E129" s="36" t="s">
        <v>33</v>
      </c>
      <c r="F129" s="36" t="s">
        <v>34</v>
      </c>
      <c r="G129" s="36" t="s">
        <v>21</v>
      </c>
      <c r="H129" s="24">
        <f t="shared" si="6"/>
        <v>10000000.01</v>
      </c>
      <c r="I129" s="24">
        <v>99999999999</v>
      </c>
      <c r="J129" s="27">
        <v>2.7757999999999998</v>
      </c>
      <c r="K129" s="37">
        <v>412755.03</v>
      </c>
      <c r="L129" s="38">
        <v>46204</v>
      </c>
      <c r="M129" s="12">
        <v>9.2499999999999999E-2</v>
      </c>
      <c r="N129" s="11">
        <f>_xlfn.XLOOKUP(E129,ICMS!C:C,ICMS!D:D)</f>
        <v>0.12</v>
      </c>
      <c r="O129" s="36">
        <f t="shared" si="4"/>
        <v>128</v>
      </c>
      <c r="P129" s="36"/>
      <c r="Q129" s="36" t="s">
        <v>139</v>
      </c>
      <c r="R129" s="40" t="s">
        <v>146</v>
      </c>
      <c r="S129" s="39" t="s">
        <v>163</v>
      </c>
    </row>
    <row r="130" spans="1:19" x14ac:dyDescent="0.3">
      <c r="A130" s="33" t="s">
        <v>15</v>
      </c>
      <c r="B130" s="34" t="s">
        <v>36</v>
      </c>
      <c r="C130" s="35" t="s">
        <v>46</v>
      </c>
      <c r="D130" s="36">
        <v>1</v>
      </c>
      <c r="E130" s="36" t="s">
        <v>36</v>
      </c>
      <c r="F130" s="36" t="s">
        <v>37</v>
      </c>
      <c r="G130" s="36" t="s">
        <v>21</v>
      </c>
      <c r="H130" s="24">
        <v>0</v>
      </c>
      <c r="I130" s="24">
        <v>12500</v>
      </c>
      <c r="J130" s="27">
        <v>4.2526000000000002</v>
      </c>
      <c r="K130" s="37">
        <v>0</v>
      </c>
      <c r="L130" s="38">
        <v>46143</v>
      </c>
      <c r="M130" s="12">
        <v>9.2499999999999999E-2</v>
      </c>
      <c r="N130" s="11">
        <f>_xlfn.XLOOKUP(E130,ICMS!C:C,ICMS!D:D)</f>
        <v>0.18</v>
      </c>
      <c r="O130" s="36">
        <f t="shared" si="4"/>
        <v>129</v>
      </c>
      <c r="P130" s="10"/>
      <c r="Q130" s="10" t="s">
        <v>140</v>
      </c>
      <c r="R130" s="28" t="s">
        <v>147</v>
      </c>
      <c r="S130" s="26" t="s">
        <v>163</v>
      </c>
    </row>
    <row r="131" spans="1:19" x14ac:dyDescent="0.3">
      <c r="A131" s="33" t="s">
        <v>15</v>
      </c>
      <c r="B131" s="34" t="s">
        <v>36</v>
      </c>
      <c r="C131" s="35" t="s">
        <v>46</v>
      </c>
      <c r="D131" s="36">
        <v>2</v>
      </c>
      <c r="E131" s="36" t="s">
        <v>36</v>
      </c>
      <c r="F131" s="36" t="s">
        <v>37</v>
      </c>
      <c r="G131" s="36" t="s">
        <v>21</v>
      </c>
      <c r="H131" s="24">
        <f t="shared" si="6"/>
        <v>12500.01</v>
      </c>
      <c r="I131" s="24">
        <v>50000</v>
      </c>
      <c r="J131" s="27">
        <v>2.8673000000000002</v>
      </c>
      <c r="K131" s="37">
        <v>0</v>
      </c>
      <c r="L131" s="38">
        <v>46143</v>
      </c>
      <c r="M131" s="12">
        <v>9.2499999999999999E-2</v>
      </c>
      <c r="N131" s="11">
        <f>_xlfn.XLOOKUP(E131,ICMS!C:C,ICMS!D:D)</f>
        <v>0.18</v>
      </c>
      <c r="O131" s="36">
        <f t="shared" si="4"/>
        <v>130</v>
      </c>
      <c r="P131" s="10"/>
      <c r="Q131" s="10" t="s">
        <v>140</v>
      </c>
      <c r="R131" s="28" t="s">
        <v>147</v>
      </c>
      <c r="S131" s="26" t="s">
        <v>163</v>
      </c>
    </row>
    <row r="132" spans="1:19" x14ac:dyDescent="0.3">
      <c r="A132" s="33" t="s">
        <v>15</v>
      </c>
      <c r="B132" s="34" t="s">
        <v>36</v>
      </c>
      <c r="C132" s="35" t="s">
        <v>46</v>
      </c>
      <c r="D132" s="36">
        <v>3</v>
      </c>
      <c r="E132" s="36" t="s">
        <v>36</v>
      </c>
      <c r="F132" s="36" t="s">
        <v>37</v>
      </c>
      <c r="G132" s="36" t="s">
        <v>21</v>
      </c>
      <c r="H132" s="24">
        <f t="shared" si="6"/>
        <v>50000.01</v>
      </c>
      <c r="I132" s="24">
        <v>250000</v>
      </c>
      <c r="J132" s="27">
        <v>2.7557999999999998</v>
      </c>
      <c r="K132" s="37">
        <v>0</v>
      </c>
      <c r="L132" s="38">
        <v>46143</v>
      </c>
      <c r="M132" s="12">
        <v>9.2499999999999999E-2</v>
      </c>
      <c r="N132" s="11">
        <f>_xlfn.XLOOKUP(E132,ICMS!C:C,ICMS!D:D)</f>
        <v>0.18</v>
      </c>
      <c r="O132" s="36">
        <f t="shared" ref="O132:O195" si="7">1+O131</f>
        <v>131</v>
      </c>
      <c r="P132" s="10"/>
      <c r="Q132" s="10" t="s">
        <v>140</v>
      </c>
      <c r="R132" s="28" t="s">
        <v>147</v>
      </c>
      <c r="S132" s="26" t="s">
        <v>163</v>
      </c>
    </row>
    <row r="133" spans="1:19" x14ac:dyDescent="0.3">
      <c r="A133" s="33" t="s">
        <v>15</v>
      </c>
      <c r="B133" s="34" t="s">
        <v>36</v>
      </c>
      <c r="C133" s="35" t="s">
        <v>46</v>
      </c>
      <c r="D133" s="36">
        <v>4</v>
      </c>
      <c r="E133" s="36" t="s">
        <v>36</v>
      </c>
      <c r="F133" s="36" t="s">
        <v>37</v>
      </c>
      <c r="G133" s="36" t="s">
        <v>21</v>
      </c>
      <c r="H133" s="24">
        <f t="shared" si="6"/>
        <v>250000.01</v>
      </c>
      <c r="I133" s="24">
        <v>750000</v>
      </c>
      <c r="J133" s="27">
        <v>2.7751000000000001</v>
      </c>
      <c r="K133" s="37">
        <v>0</v>
      </c>
      <c r="L133" s="38">
        <v>46143</v>
      </c>
      <c r="M133" s="12">
        <v>9.2499999999999999E-2</v>
      </c>
      <c r="N133" s="11">
        <f>_xlfn.XLOOKUP(E133,ICMS!C:C,ICMS!D:D)</f>
        <v>0.18</v>
      </c>
      <c r="O133" s="36">
        <f t="shared" si="7"/>
        <v>132</v>
      </c>
      <c r="P133" s="10"/>
      <c r="Q133" s="10" t="s">
        <v>140</v>
      </c>
      <c r="R133" s="28" t="s">
        <v>147</v>
      </c>
      <c r="S133" s="26" t="s">
        <v>163</v>
      </c>
    </row>
    <row r="134" spans="1:19" x14ac:dyDescent="0.3">
      <c r="A134" s="33" t="s">
        <v>15</v>
      </c>
      <c r="B134" s="34" t="s">
        <v>36</v>
      </c>
      <c r="C134" s="35" t="s">
        <v>46</v>
      </c>
      <c r="D134" s="36">
        <v>5</v>
      </c>
      <c r="E134" s="36" t="s">
        <v>36</v>
      </c>
      <c r="F134" s="36" t="s">
        <v>37</v>
      </c>
      <c r="G134" s="36" t="s">
        <v>21</v>
      </c>
      <c r="H134" s="24">
        <f t="shared" si="6"/>
        <v>750000.01</v>
      </c>
      <c r="I134" s="24">
        <v>1500000</v>
      </c>
      <c r="J134" s="27">
        <v>2.7477</v>
      </c>
      <c r="K134" s="37">
        <v>0</v>
      </c>
      <c r="L134" s="38">
        <v>46143</v>
      </c>
      <c r="M134" s="12">
        <v>9.2499999999999999E-2</v>
      </c>
      <c r="N134" s="11">
        <f>_xlfn.XLOOKUP(E134,ICMS!C:C,ICMS!D:D)</f>
        <v>0.18</v>
      </c>
      <c r="O134" s="36">
        <f t="shared" si="7"/>
        <v>133</v>
      </c>
      <c r="P134" s="10"/>
      <c r="Q134" s="10" t="s">
        <v>140</v>
      </c>
      <c r="R134" s="28" t="s">
        <v>147</v>
      </c>
      <c r="S134" s="26" t="s">
        <v>163</v>
      </c>
    </row>
    <row r="135" spans="1:19" x14ac:dyDescent="0.3">
      <c r="A135" s="33" t="s">
        <v>15</v>
      </c>
      <c r="B135" s="34" t="s">
        <v>36</v>
      </c>
      <c r="C135" s="35" t="s">
        <v>46</v>
      </c>
      <c r="D135" s="36">
        <v>6</v>
      </c>
      <c r="E135" s="36" t="s">
        <v>36</v>
      </c>
      <c r="F135" s="36" t="s">
        <v>37</v>
      </c>
      <c r="G135" s="36" t="s">
        <v>21</v>
      </c>
      <c r="H135" s="24">
        <f t="shared" si="6"/>
        <v>1500000.01</v>
      </c>
      <c r="I135" s="24">
        <v>3000000</v>
      </c>
      <c r="J135" s="27">
        <v>2.7383999999999999</v>
      </c>
      <c r="K135" s="37">
        <v>0</v>
      </c>
      <c r="L135" s="38">
        <v>46143</v>
      </c>
      <c r="M135" s="12">
        <v>9.2499999999999999E-2</v>
      </c>
      <c r="N135" s="11">
        <f>_xlfn.XLOOKUP(E135,ICMS!C:C,ICMS!D:D)</f>
        <v>0.18</v>
      </c>
      <c r="O135" s="36">
        <f t="shared" si="7"/>
        <v>134</v>
      </c>
      <c r="P135" s="10"/>
      <c r="Q135" s="10" t="s">
        <v>140</v>
      </c>
      <c r="R135" s="28" t="s">
        <v>147</v>
      </c>
      <c r="S135" s="26" t="s">
        <v>163</v>
      </c>
    </row>
    <row r="136" spans="1:19" x14ac:dyDescent="0.3">
      <c r="A136" s="33" t="s">
        <v>15</v>
      </c>
      <c r="B136" s="34" t="s">
        <v>36</v>
      </c>
      <c r="C136" s="35" t="s">
        <v>46</v>
      </c>
      <c r="D136" s="36">
        <v>7</v>
      </c>
      <c r="E136" s="36" t="s">
        <v>36</v>
      </c>
      <c r="F136" s="36" t="s">
        <v>37</v>
      </c>
      <c r="G136" s="36" t="s">
        <v>21</v>
      </c>
      <c r="H136" s="24">
        <f t="shared" si="6"/>
        <v>3000000.01</v>
      </c>
      <c r="I136" s="24">
        <v>4500000</v>
      </c>
      <c r="J136" s="27">
        <v>2.6688999999999998</v>
      </c>
      <c r="K136" s="37">
        <v>0</v>
      </c>
      <c r="L136" s="38">
        <v>46143</v>
      </c>
      <c r="M136" s="12">
        <v>9.2499999999999999E-2</v>
      </c>
      <c r="N136" s="11">
        <f>_xlfn.XLOOKUP(E136,ICMS!C:C,ICMS!D:D)</f>
        <v>0.18</v>
      </c>
      <c r="O136" s="36">
        <f t="shared" si="7"/>
        <v>135</v>
      </c>
      <c r="P136" s="10"/>
      <c r="Q136" s="10" t="s">
        <v>140</v>
      </c>
      <c r="R136" s="28" t="s">
        <v>147</v>
      </c>
      <c r="S136" s="26" t="s">
        <v>163</v>
      </c>
    </row>
    <row r="137" spans="1:19" x14ac:dyDescent="0.3">
      <c r="A137" s="33" t="s">
        <v>15</v>
      </c>
      <c r="B137" s="34" t="s">
        <v>36</v>
      </c>
      <c r="C137" s="35" t="s">
        <v>46</v>
      </c>
      <c r="D137" s="36">
        <v>8</v>
      </c>
      <c r="E137" s="36" t="s">
        <v>36</v>
      </c>
      <c r="F137" s="36" t="s">
        <v>37</v>
      </c>
      <c r="G137" s="36" t="s">
        <v>21</v>
      </c>
      <c r="H137" s="24">
        <f t="shared" si="6"/>
        <v>4500000.01</v>
      </c>
      <c r="I137" s="24">
        <v>7000000</v>
      </c>
      <c r="J137" s="27">
        <v>2.5733000000000001</v>
      </c>
      <c r="K137" s="37">
        <v>0</v>
      </c>
      <c r="L137" s="38">
        <v>46143</v>
      </c>
      <c r="M137" s="12">
        <v>9.2499999999999999E-2</v>
      </c>
      <c r="N137" s="11">
        <f>_xlfn.XLOOKUP(E137,ICMS!C:C,ICMS!D:D)</f>
        <v>0.18</v>
      </c>
      <c r="O137" s="36">
        <f t="shared" si="7"/>
        <v>136</v>
      </c>
      <c r="P137" s="10"/>
      <c r="Q137" s="10" t="s">
        <v>140</v>
      </c>
      <c r="R137" s="28" t="s">
        <v>147</v>
      </c>
      <c r="S137" s="26" t="s">
        <v>163</v>
      </c>
    </row>
    <row r="138" spans="1:19" x14ac:dyDescent="0.3">
      <c r="A138" s="33" t="s">
        <v>15</v>
      </c>
      <c r="B138" s="34" t="s">
        <v>36</v>
      </c>
      <c r="C138" s="35" t="s">
        <v>46</v>
      </c>
      <c r="D138" s="36">
        <v>9</v>
      </c>
      <c r="E138" s="36" t="s">
        <v>36</v>
      </c>
      <c r="F138" s="36" t="s">
        <v>37</v>
      </c>
      <c r="G138" s="36" t="s">
        <v>21</v>
      </c>
      <c r="H138" s="24">
        <f t="shared" si="6"/>
        <v>7000000.0099999998</v>
      </c>
      <c r="I138" s="24">
        <v>99999999999</v>
      </c>
      <c r="J138" s="27">
        <v>2.5182000000000002</v>
      </c>
      <c r="K138" s="37">
        <v>0</v>
      </c>
      <c r="L138" s="38">
        <v>46143</v>
      </c>
      <c r="M138" s="12">
        <v>9.2499999999999999E-2</v>
      </c>
      <c r="N138" s="11">
        <f>_xlfn.XLOOKUP(E138,ICMS!C:C,ICMS!D:D)</f>
        <v>0.18</v>
      </c>
      <c r="O138" s="36">
        <f t="shared" si="7"/>
        <v>137</v>
      </c>
      <c r="P138" s="10"/>
      <c r="Q138" s="10" t="s">
        <v>140</v>
      </c>
      <c r="R138" s="28" t="s">
        <v>147</v>
      </c>
      <c r="S138" s="26" t="s">
        <v>163</v>
      </c>
    </row>
    <row r="139" spans="1:19" x14ac:dyDescent="0.3">
      <c r="A139" s="33" t="s">
        <v>13</v>
      </c>
      <c r="B139" s="34" t="s">
        <v>36</v>
      </c>
      <c r="C139" s="35" t="s">
        <v>46</v>
      </c>
      <c r="D139" s="36">
        <v>1</v>
      </c>
      <c r="E139" s="36" t="s">
        <v>36</v>
      </c>
      <c r="F139" s="36" t="s">
        <v>37</v>
      </c>
      <c r="G139" s="36" t="s">
        <v>38</v>
      </c>
      <c r="H139" s="24">
        <v>0</v>
      </c>
      <c r="I139" s="24">
        <v>50</v>
      </c>
      <c r="J139" s="27">
        <v>6.8465999999999996</v>
      </c>
      <c r="K139" s="37">
        <v>93.41</v>
      </c>
      <c r="L139" s="38">
        <v>46143</v>
      </c>
      <c r="M139" s="12">
        <v>9.2499999999999999E-2</v>
      </c>
      <c r="N139" s="11">
        <f>_xlfn.XLOOKUP(E139,ICMS!C:C,ICMS!D:D)</f>
        <v>0.18</v>
      </c>
      <c r="O139" s="36">
        <f t="shared" si="7"/>
        <v>138</v>
      </c>
      <c r="P139" s="10"/>
      <c r="Q139" s="10" t="s">
        <v>139</v>
      </c>
      <c r="R139" s="28" t="s">
        <v>165</v>
      </c>
      <c r="S139" s="26" t="s">
        <v>163</v>
      </c>
    </row>
    <row r="140" spans="1:19" x14ac:dyDescent="0.3">
      <c r="A140" s="33" t="s">
        <v>13</v>
      </c>
      <c r="B140" s="34" t="s">
        <v>36</v>
      </c>
      <c r="C140" s="35" t="s">
        <v>46</v>
      </c>
      <c r="D140" s="36">
        <v>2</v>
      </c>
      <c r="E140" s="36" t="s">
        <v>36</v>
      </c>
      <c r="F140" s="36" t="s">
        <v>37</v>
      </c>
      <c r="G140" s="36" t="s">
        <v>38</v>
      </c>
      <c r="H140" s="24">
        <f t="shared" si="6"/>
        <v>50.01</v>
      </c>
      <c r="I140" s="24">
        <v>150</v>
      </c>
      <c r="J140" s="27">
        <v>6.7923</v>
      </c>
      <c r="K140" s="37">
        <v>96.07</v>
      </c>
      <c r="L140" s="38">
        <v>46143</v>
      </c>
      <c r="M140" s="12">
        <v>9.2499999999999999E-2</v>
      </c>
      <c r="N140" s="11">
        <f>_xlfn.XLOOKUP(E140,ICMS!C:C,ICMS!D:D)</f>
        <v>0.18</v>
      </c>
      <c r="O140" s="36">
        <f t="shared" si="7"/>
        <v>139</v>
      </c>
      <c r="P140" s="10"/>
      <c r="Q140" s="10" t="s">
        <v>139</v>
      </c>
      <c r="R140" s="28" t="s">
        <v>165</v>
      </c>
      <c r="S140" s="26" t="s">
        <v>163</v>
      </c>
    </row>
    <row r="141" spans="1:19" x14ac:dyDescent="0.3">
      <c r="A141" s="33" t="s">
        <v>13</v>
      </c>
      <c r="B141" s="34" t="s">
        <v>36</v>
      </c>
      <c r="C141" s="35" t="s">
        <v>46</v>
      </c>
      <c r="D141" s="36">
        <v>3</v>
      </c>
      <c r="E141" s="36" t="s">
        <v>36</v>
      </c>
      <c r="F141" s="36" t="s">
        <v>37</v>
      </c>
      <c r="G141" s="36" t="s">
        <v>38</v>
      </c>
      <c r="H141" s="24">
        <f t="shared" si="6"/>
        <v>150.01</v>
      </c>
      <c r="I141" s="24">
        <v>300</v>
      </c>
      <c r="J141" s="27">
        <v>6.5208000000000004</v>
      </c>
      <c r="K141" s="37">
        <v>135.88999999999999</v>
      </c>
      <c r="L141" s="38">
        <v>46143</v>
      </c>
      <c r="M141" s="12">
        <v>9.2499999999999999E-2</v>
      </c>
      <c r="N141" s="11">
        <f>_xlfn.XLOOKUP(E141,ICMS!C:C,ICMS!D:D)</f>
        <v>0.18</v>
      </c>
      <c r="O141" s="36">
        <f t="shared" si="7"/>
        <v>140</v>
      </c>
      <c r="P141" s="10"/>
      <c r="Q141" s="10" t="s">
        <v>139</v>
      </c>
      <c r="R141" s="28" t="s">
        <v>165</v>
      </c>
      <c r="S141" s="26" t="s">
        <v>163</v>
      </c>
    </row>
    <row r="142" spans="1:19" x14ac:dyDescent="0.3">
      <c r="A142" s="33" t="s">
        <v>13</v>
      </c>
      <c r="B142" s="34" t="s">
        <v>36</v>
      </c>
      <c r="C142" s="35" t="s">
        <v>46</v>
      </c>
      <c r="D142" s="36">
        <v>4</v>
      </c>
      <c r="E142" s="36" t="s">
        <v>36</v>
      </c>
      <c r="F142" s="36" t="s">
        <v>37</v>
      </c>
      <c r="G142" s="36" t="s">
        <v>38</v>
      </c>
      <c r="H142" s="24">
        <f t="shared" si="6"/>
        <v>300.01</v>
      </c>
      <c r="I142" s="24">
        <v>600</v>
      </c>
      <c r="J142" s="27">
        <v>6.0152000000000001</v>
      </c>
      <c r="K142" s="37">
        <v>288.18</v>
      </c>
      <c r="L142" s="38">
        <v>46143</v>
      </c>
      <c r="M142" s="12">
        <v>9.2499999999999999E-2</v>
      </c>
      <c r="N142" s="11">
        <f>_xlfn.XLOOKUP(E142,ICMS!C:C,ICMS!D:D)</f>
        <v>0.18</v>
      </c>
      <c r="O142" s="36">
        <f t="shared" si="7"/>
        <v>141</v>
      </c>
      <c r="P142" s="10"/>
      <c r="Q142" s="10" t="s">
        <v>139</v>
      </c>
      <c r="R142" s="28" t="s">
        <v>165</v>
      </c>
      <c r="S142" s="26" t="s">
        <v>163</v>
      </c>
    </row>
    <row r="143" spans="1:19" x14ac:dyDescent="0.3">
      <c r="A143" s="33" t="s">
        <v>13</v>
      </c>
      <c r="B143" s="34" t="s">
        <v>36</v>
      </c>
      <c r="C143" s="35" t="s">
        <v>46</v>
      </c>
      <c r="D143" s="36">
        <v>5</v>
      </c>
      <c r="E143" s="36" t="s">
        <v>36</v>
      </c>
      <c r="F143" s="36" t="s">
        <v>37</v>
      </c>
      <c r="G143" s="36" t="s">
        <v>38</v>
      </c>
      <c r="H143" s="24">
        <f t="shared" si="6"/>
        <v>600.01</v>
      </c>
      <c r="I143" s="24">
        <v>1000</v>
      </c>
      <c r="J143" s="27">
        <v>5.9604999999999997</v>
      </c>
      <c r="K143" s="37">
        <v>319.27999999999997</v>
      </c>
      <c r="L143" s="38">
        <v>46143</v>
      </c>
      <c r="M143" s="12">
        <v>9.2499999999999999E-2</v>
      </c>
      <c r="N143" s="11">
        <f>_xlfn.XLOOKUP(E143,ICMS!C:C,ICMS!D:D)</f>
        <v>0.18</v>
      </c>
      <c r="O143" s="36">
        <f t="shared" si="7"/>
        <v>142</v>
      </c>
      <c r="P143" s="10"/>
      <c r="Q143" s="10" t="s">
        <v>139</v>
      </c>
      <c r="R143" s="28" t="s">
        <v>165</v>
      </c>
      <c r="S143" s="26" t="s">
        <v>163</v>
      </c>
    </row>
    <row r="144" spans="1:19" x14ac:dyDescent="0.3">
      <c r="A144" s="33" t="s">
        <v>13</v>
      </c>
      <c r="B144" s="34" t="s">
        <v>36</v>
      </c>
      <c r="C144" s="35" t="s">
        <v>46</v>
      </c>
      <c r="D144" s="36">
        <v>6</v>
      </c>
      <c r="E144" s="36" t="s">
        <v>36</v>
      </c>
      <c r="F144" s="36" t="s">
        <v>37</v>
      </c>
      <c r="G144" s="36" t="s">
        <v>38</v>
      </c>
      <c r="H144" s="24">
        <f t="shared" si="6"/>
        <v>1000.01</v>
      </c>
      <c r="I144" s="24">
        <v>2000</v>
      </c>
      <c r="J144" s="27">
        <v>5.2972000000000001</v>
      </c>
      <c r="K144" s="37">
        <v>981.1</v>
      </c>
      <c r="L144" s="38">
        <v>46143</v>
      </c>
      <c r="M144" s="12">
        <v>9.2499999999999999E-2</v>
      </c>
      <c r="N144" s="11">
        <f>_xlfn.XLOOKUP(E144,ICMS!C:C,ICMS!D:D)</f>
        <v>0.18</v>
      </c>
      <c r="O144" s="36">
        <f t="shared" si="7"/>
        <v>143</v>
      </c>
      <c r="P144" s="10"/>
      <c r="Q144" s="10" t="s">
        <v>139</v>
      </c>
      <c r="R144" s="28" t="s">
        <v>165</v>
      </c>
      <c r="S144" s="26" t="s">
        <v>163</v>
      </c>
    </row>
    <row r="145" spans="1:19" x14ac:dyDescent="0.3">
      <c r="A145" s="33" t="s">
        <v>13</v>
      </c>
      <c r="B145" s="34" t="s">
        <v>36</v>
      </c>
      <c r="C145" s="35" t="s">
        <v>46</v>
      </c>
      <c r="D145" s="36">
        <v>7</v>
      </c>
      <c r="E145" s="36" t="s">
        <v>36</v>
      </c>
      <c r="F145" s="36" t="s">
        <v>37</v>
      </c>
      <c r="G145" s="36" t="s">
        <v>38</v>
      </c>
      <c r="H145" s="24">
        <f t="shared" si="6"/>
        <v>2000.01</v>
      </c>
      <c r="I145" s="24">
        <v>5000</v>
      </c>
      <c r="J145" s="27">
        <v>4.1036000000000001</v>
      </c>
      <c r="K145" s="37">
        <v>1326.74</v>
      </c>
      <c r="L145" s="38">
        <v>46143</v>
      </c>
      <c r="M145" s="12">
        <v>9.2499999999999999E-2</v>
      </c>
      <c r="N145" s="11">
        <f>_xlfn.XLOOKUP(E145,ICMS!C:C,ICMS!D:D)</f>
        <v>0.18</v>
      </c>
      <c r="O145" s="36">
        <f t="shared" si="7"/>
        <v>144</v>
      </c>
      <c r="P145" s="10"/>
      <c r="Q145" s="10" t="s">
        <v>139</v>
      </c>
      <c r="R145" s="28" t="s">
        <v>165</v>
      </c>
      <c r="S145" s="26" t="s">
        <v>163</v>
      </c>
    </row>
    <row r="146" spans="1:19" x14ac:dyDescent="0.3">
      <c r="A146" s="33" t="s">
        <v>13</v>
      </c>
      <c r="B146" s="34" t="s">
        <v>36</v>
      </c>
      <c r="C146" s="35" t="s">
        <v>46</v>
      </c>
      <c r="D146" s="36">
        <v>8</v>
      </c>
      <c r="E146" s="36" t="s">
        <v>36</v>
      </c>
      <c r="F146" s="36" t="s">
        <v>37</v>
      </c>
      <c r="G146" s="36" t="s">
        <v>38</v>
      </c>
      <c r="H146" s="24">
        <f t="shared" si="6"/>
        <v>5000.01</v>
      </c>
      <c r="I146" s="24">
        <v>15000</v>
      </c>
      <c r="J146" s="27">
        <v>4.0015000000000001</v>
      </c>
      <c r="K146" s="37">
        <v>1836.04</v>
      </c>
      <c r="L146" s="38">
        <v>46143</v>
      </c>
      <c r="M146" s="12">
        <v>9.2499999999999999E-2</v>
      </c>
      <c r="N146" s="11">
        <f>_xlfn.XLOOKUP(E146,ICMS!C:C,ICMS!D:D)</f>
        <v>0.18</v>
      </c>
      <c r="O146" s="36">
        <f t="shared" si="7"/>
        <v>145</v>
      </c>
      <c r="P146" s="10"/>
      <c r="Q146" s="10" t="s">
        <v>139</v>
      </c>
      <c r="R146" s="28" t="s">
        <v>165</v>
      </c>
      <c r="S146" s="26" t="s">
        <v>163</v>
      </c>
    </row>
    <row r="147" spans="1:19" x14ac:dyDescent="0.3">
      <c r="A147" s="33" t="s">
        <v>13</v>
      </c>
      <c r="B147" s="34" t="s">
        <v>36</v>
      </c>
      <c r="C147" s="35" t="s">
        <v>46</v>
      </c>
      <c r="D147" s="36">
        <v>9</v>
      </c>
      <c r="E147" s="36" t="s">
        <v>36</v>
      </c>
      <c r="F147" s="36" t="s">
        <v>37</v>
      </c>
      <c r="G147" s="36" t="s">
        <v>38</v>
      </c>
      <c r="H147" s="24">
        <f t="shared" si="6"/>
        <v>15000.01</v>
      </c>
      <c r="I147" s="24">
        <v>25000</v>
      </c>
      <c r="J147" s="27">
        <v>3.9192</v>
      </c>
      <c r="K147" s="37">
        <v>3074.26</v>
      </c>
      <c r="L147" s="38">
        <v>46143</v>
      </c>
      <c r="M147" s="12">
        <v>9.2499999999999999E-2</v>
      </c>
      <c r="N147" s="11">
        <f>_xlfn.XLOOKUP(E147,ICMS!C:C,ICMS!D:D)</f>
        <v>0.18</v>
      </c>
      <c r="O147" s="36">
        <f t="shared" si="7"/>
        <v>146</v>
      </c>
      <c r="P147" s="10"/>
      <c r="Q147" s="10" t="s">
        <v>139</v>
      </c>
      <c r="R147" s="28" t="s">
        <v>165</v>
      </c>
      <c r="S147" s="26" t="s">
        <v>163</v>
      </c>
    </row>
    <row r="148" spans="1:19" x14ac:dyDescent="0.3">
      <c r="A148" s="33" t="s">
        <v>13</v>
      </c>
      <c r="B148" s="34" t="s">
        <v>36</v>
      </c>
      <c r="C148" s="35" t="s">
        <v>46</v>
      </c>
      <c r="D148" s="36">
        <v>10</v>
      </c>
      <c r="E148" s="36" t="s">
        <v>36</v>
      </c>
      <c r="F148" s="36" t="s">
        <v>37</v>
      </c>
      <c r="G148" s="36" t="s">
        <v>38</v>
      </c>
      <c r="H148" s="24">
        <f t="shared" si="6"/>
        <v>25000.01</v>
      </c>
      <c r="I148" s="24">
        <v>99999999999</v>
      </c>
      <c r="J148" s="27">
        <v>3.7521</v>
      </c>
      <c r="K148" s="37">
        <v>7250.76</v>
      </c>
      <c r="L148" s="38">
        <v>46143</v>
      </c>
      <c r="M148" s="12">
        <v>9.2499999999999999E-2</v>
      </c>
      <c r="N148" s="11">
        <f>_xlfn.XLOOKUP(E148,ICMS!C:C,ICMS!D:D)</f>
        <v>0.18</v>
      </c>
      <c r="O148" s="36">
        <f t="shared" si="7"/>
        <v>147</v>
      </c>
      <c r="P148" s="10"/>
      <c r="Q148" s="10" t="s">
        <v>139</v>
      </c>
      <c r="R148" s="28" t="s">
        <v>165</v>
      </c>
      <c r="S148" s="26" t="s">
        <v>163</v>
      </c>
    </row>
    <row r="149" spans="1:19" x14ac:dyDescent="0.3">
      <c r="A149" s="33" t="s">
        <v>18</v>
      </c>
      <c r="B149" s="34" t="s">
        <v>36</v>
      </c>
      <c r="C149" s="35" t="s">
        <v>46</v>
      </c>
      <c r="D149" s="36">
        <v>1</v>
      </c>
      <c r="E149" s="36" t="s">
        <v>36</v>
      </c>
      <c r="F149" s="36" t="s">
        <v>37</v>
      </c>
      <c r="G149" s="36" t="s">
        <v>39</v>
      </c>
      <c r="H149" s="24">
        <v>0</v>
      </c>
      <c r="I149" s="24">
        <v>1</v>
      </c>
      <c r="J149" s="27">
        <v>0</v>
      </c>
      <c r="K149" s="37">
        <v>27.79</v>
      </c>
      <c r="L149" s="38">
        <v>46143</v>
      </c>
      <c r="M149" s="12">
        <v>9.2499999999999999E-2</v>
      </c>
      <c r="N149" s="11">
        <f>_xlfn.XLOOKUP(E149,ICMS!C:C,ICMS!D:D)</f>
        <v>0.18</v>
      </c>
      <c r="O149" s="36">
        <f t="shared" si="7"/>
        <v>148</v>
      </c>
      <c r="P149" s="10"/>
      <c r="Q149" s="10" t="s">
        <v>139</v>
      </c>
      <c r="R149" s="28" t="s">
        <v>164</v>
      </c>
      <c r="S149" s="26" t="s">
        <v>163</v>
      </c>
    </row>
    <row r="150" spans="1:19" x14ac:dyDescent="0.3">
      <c r="A150" s="33" t="s">
        <v>18</v>
      </c>
      <c r="B150" s="34" t="s">
        <v>36</v>
      </c>
      <c r="C150" s="35" t="s">
        <v>46</v>
      </c>
      <c r="D150" s="36">
        <v>2</v>
      </c>
      <c r="E150" s="36" t="s">
        <v>36</v>
      </c>
      <c r="F150" s="36" t="s">
        <v>37</v>
      </c>
      <c r="G150" s="36" t="s">
        <v>39</v>
      </c>
      <c r="H150" s="24">
        <f t="shared" si="6"/>
        <v>1.01</v>
      </c>
      <c r="I150" s="24">
        <v>7</v>
      </c>
      <c r="J150" s="27">
        <v>8.3126999999999995</v>
      </c>
      <c r="K150" s="37">
        <v>16.32</v>
      </c>
      <c r="L150" s="38">
        <v>46143</v>
      </c>
      <c r="M150" s="12">
        <v>9.2499999999999999E-2</v>
      </c>
      <c r="N150" s="11">
        <f>_xlfn.XLOOKUP(E150,ICMS!C:C,ICMS!D:D)</f>
        <v>0.18</v>
      </c>
      <c r="O150" s="36">
        <f t="shared" si="7"/>
        <v>149</v>
      </c>
      <c r="P150" s="10"/>
      <c r="Q150" s="10" t="s">
        <v>139</v>
      </c>
      <c r="R150" s="28" t="s">
        <v>164</v>
      </c>
      <c r="S150" s="26" t="s">
        <v>163</v>
      </c>
    </row>
    <row r="151" spans="1:19" x14ac:dyDescent="0.3">
      <c r="A151" s="33" t="s">
        <v>18</v>
      </c>
      <c r="B151" s="34" t="s">
        <v>36</v>
      </c>
      <c r="C151" s="35" t="s">
        <v>46</v>
      </c>
      <c r="D151" s="36">
        <v>3</v>
      </c>
      <c r="E151" s="36" t="s">
        <v>36</v>
      </c>
      <c r="F151" s="36" t="s">
        <v>37</v>
      </c>
      <c r="G151" s="36" t="s">
        <v>39</v>
      </c>
      <c r="H151" s="24">
        <f t="shared" si="6"/>
        <v>7.01</v>
      </c>
      <c r="I151" s="24">
        <v>16</v>
      </c>
      <c r="J151" s="27">
        <v>7.3570000000000002</v>
      </c>
      <c r="K151" s="37">
        <v>25.69</v>
      </c>
      <c r="L151" s="38">
        <v>46143</v>
      </c>
      <c r="M151" s="12">
        <v>9.2499999999999999E-2</v>
      </c>
      <c r="N151" s="11">
        <f>_xlfn.XLOOKUP(E151,ICMS!C:C,ICMS!D:D)</f>
        <v>0.18</v>
      </c>
      <c r="O151" s="36">
        <f t="shared" si="7"/>
        <v>150</v>
      </c>
      <c r="P151" s="10"/>
      <c r="Q151" s="10" t="s">
        <v>139</v>
      </c>
      <c r="R151" s="28" t="s">
        <v>164</v>
      </c>
      <c r="S151" s="26" t="s">
        <v>163</v>
      </c>
    </row>
    <row r="152" spans="1:19" x14ac:dyDescent="0.3">
      <c r="A152" s="33" t="s">
        <v>18</v>
      </c>
      <c r="B152" s="34" t="s">
        <v>36</v>
      </c>
      <c r="C152" s="35" t="s">
        <v>46</v>
      </c>
      <c r="D152" s="36">
        <v>4</v>
      </c>
      <c r="E152" s="36" t="s">
        <v>36</v>
      </c>
      <c r="F152" s="36" t="s">
        <v>37</v>
      </c>
      <c r="G152" s="36" t="s">
        <v>39</v>
      </c>
      <c r="H152" s="24">
        <f t="shared" si="6"/>
        <v>16.010000000000002</v>
      </c>
      <c r="I152" s="24">
        <v>41</v>
      </c>
      <c r="J152" s="27">
        <v>7.1905000000000001</v>
      </c>
      <c r="K152" s="37">
        <v>29.14</v>
      </c>
      <c r="L152" s="38">
        <v>46143</v>
      </c>
      <c r="M152" s="12">
        <v>9.2499999999999999E-2</v>
      </c>
      <c r="N152" s="11">
        <f>_xlfn.XLOOKUP(E152,ICMS!C:C,ICMS!D:D)</f>
        <v>0.18</v>
      </c>
      <c r="O152" s="36">
        <f t="shared" si="7"/>
        <v>151</v>
      </c>
      <c r="P152" s="10"/>
      <c r="Q152" s="10" t="s">
        <v>139</v>
      </c>
      <c r="R152" s="28" t="s">
        <v>164</v>
      </c>
      <c r="S152" s="26" t="s">
        <v>163</v>
      </c>
    </row>
    <row r="153" spans="1:19" x14ac:dyDescent="0.3">
      <c r="A153" s="33" t="s">
        <v>18</v>
      </c>
      <c r="B153" s="34" t="s">
        <v>36</v>
      </c>
      <c r="C153" s="35" t="s">
        <v>46</v>
      </c>
      <c r="D153" s="36">
        <v>5</v>
      </c>
      <c r="E153" s="36" t="s">
        <v>36</v>
      </c>
      <c r="F153" s="36" t="s">
        <v>37</v>
      </c>
      <c r="G153" s="36" t="s">
        <v>39</v>
      </c>
      <c r="H153" s="24">
        <f t="shared" si="6"/>
        <v>41.01</v>
      </c>
      <c r="I153" s="24">
        <v>200</v>
      </c>
      <c r="J153" s="27">
        <v>6.7595999999999998</v>
      </c>
      <c r="K153" s="37">
        <v>44.84</v>
      </c>
      <c r="L153" s="38">
        <v>46143</v>
      </c>
      <c r="M153" s="12">
        <v>9.2499999999999999E-2</v>
      </c>
      <c r="N153" s="11">
        <f>_xlfn.XLOOKUP(E153,ICMS!C:C,ICMS!D:D)</f>
        <v>0.18</v>
      </c>
      <c r="O153" s="36">
        <f t="shared" si="7"/>
        <v>152</v>
      </c>
      <c r="P153" s="10"/>
      <c r="Q153" s="10" t="s">
        <v>139</v>
      </c>
      <c r="R153" s="28" t="s">
        <v>164</v>
      </c>
      <c r="S153" s="26" t="s">
        <v>163</v>
      </c>
    </row>
    <row r="154" spans="1:19" x14ac:dyDescent="0.3">
      <c r="A154" s="33" t="s">
        <v>18</v>
      </c>
      <c r="B154" s="34" t="s">
        <v>36</v>
      </c>
      <c r="C154" s="35" t="s">
        <v>46</v>
      </c>
      <c r="D154" s="36">
        <v>6</v>
      </c>
      <c r="E154" s="36" t="s">
        <v>36</v>
      </c>
      <c r="F154" s="36" t="s">
        <v>37</v>
      </c>
      <c r="G154" s="36" t="s">
        <v>39</v>
      </c>
      <c r="H154" s="24">
        <f t="shared" si="6"/>
        <v>200.01</v>
      </c>
      <c r="I154" s="24">
        <v>99999999999</v>
      </c>
      <c r="J154" s="27">
        <v>6.5453999999999999</v>
      </c>
      <c r="K154" s="37">
        <v>87.69</v>
      </c>
      <c r="L154" s="38">
        <v>46143</v>
      </c>
      <c r="M154" s="12">
        <v>9.2499999999999999E-2</v>
      </c>
      <c r="N154" s="11">
        <f>_xlfn.XLOOKUP(E154,ICMS!C:C,ICMS!D:D)</f>
        <v>0.18</v>
      </c>
      <c r="O154" s="36">
        <f t="shared" si="7"/>
        <v>153</v>
      </c>
      <c r="P154" s="10"/>
      <c r="Q154" s="10" t="s">
        <v>139</v>
      </c>
      <c r="R154" s="28" t="s">
        <v>164</v>
      </c>
      <c r="S154" s="26" t="s">
        <v>163</v>
      </c>
    </row>
    <row r="155" spans="1:19" x14ac:dyDescent="0.3">
      <c r="A155" s="33" t="s">
        <v>8</v>
      </c>
      <c r="B155" s="34" t="s">
        <v>36</v>
      </c>
      <c r="C155" s="35" t="s">
        <v>46</v>
      </c>
      <c r="D155" s="36">
        <v>1</v>
      </c>
      <c r="E155" s="36" t="s">
        <v>36</v>
      </c>
      <c r="F155" s="36" t="s">
        <v>37</v>
      </c>
      <c r="G155" s="36" t="s">
        <v>40</v>
      </c>
      <c r="H155" s="24">
        <v>0</v>
      </c>
      <c r="I155" s="24">
        <v>150</v>
      </c>
      <c r="J155" s="27">
        <v>7.3365</v>
      </c>
      <c r="K155" s="37">
        <v>150.21</v>
      </c>
      <c r="L155" s="38">
        <v>46143</v>
      </c>
      <c r="M155" s="12">
        <v>9.2499999999999999E-2</v>
      </c>
      <c r="N155" s="11">
        <f>_xlfn.XLOOKUP(E155,ICMS!C:C,ICMS!D:D)</f>
        <v>0.18</v>
      </c>
      <c r="O155" s="36">
        <f t="shared" si="7"/>
        <v>154</v>
      </c>
      <c r="P155" s="10"/>
      <c r="Q155" s="10" t="s">
        <v>139</v>
      </c>
      <c r="R155" s="28" t="s">
        <v>164</v>
      </c>
      <c r="S155" s="26" t="s">
        <v>163</v>
      </c>
    </row>
    <row r="156" spans="1:19" x14ac:dyDescent="0.3">
      <c r="A156" s="33" t="s">
        <v>8</v>
      </c>
      <c r="B156" s="34" t="s">
        <v>36</v>
      </c>
      <c r="C156" s="35" t="s">
        <v>46</v>
      </c>
      <c r="D156" s="36">
        <v>2</v>
      </c>
      <c r="E156" s="36" t="s">
        <v>36</v>
      </c>
      <c r="F156" s="36" t="s">
        <v>37</v>
      </c>
      <c r="G156" s="36" t="s">
        <v>40</v>
      </c>
      <c r="H156" s="24">
        <f t="shared" si="6"/>
        <v>150.01</v>
      </c>
      <c r="I156" s="24">
        <v>700</v>
      </c>
      <c r="J156" s="27">
        <v>6.4996</v>
      </c>
      <c r="K156" s="37">
        <v>276.27999999999997</v>
      </c>
      <c r="L156" s="38">
        <v>46143</v>
      </c>
      <c r="M156" s="12">
        <v>9.2499999999999999E-2</v>
      </c>
      <c r="N156" s="11">
        <f>_xlfn.XLOOKUP(E156,ICMS!C:C,ICMS!D:D)</f>
        <v>0.18</v>
      </c>
      <c r="O156" s="36">
        <f t="shared" si="7"/>
        <v>155</v>
      </c>
      <c r="P156" s="10"/>
      <c r="Q156" s="10" t="s">
        <v>139</v>
      </c>
      <c r="R156" s="28" t="s">
        <v>164</v>
      </c>
      <c r="S156" s="26" t="s">
        <v>163</v>
      </c>
    </row>
    <row r="157" spans="1:19" x14ac:dyDescent="0.3">
      <c r="A157" s="33" t="s">
        <v>8</v>
      </c>
      <c r="B157" s="34" t="s">
        <v>36</v>
      </c>
      <c r="C157" s="35" t="s">
        <v>46</v>
      </c>
      <c r="D157" s="36">
        <v>3</v>
      </c>
      <c r="E157" s="36" t="s">
        <v>36</v>
      </c>
      <c r="F157" s="36" t="s">
        <v>37</v>
      </c>
      <c r="G157" s="36" t="s">
        <v>40</v>
      </c>
      <c r="H157" s="24">
        <f t="shared" si="6"/>
        <v>700.01</v>
      </c>
      <c r="I157" s="24">
        <v>2000</v>
      </c>
      <c r="J157" s="27">
        <v>6.3080999999999996</v>
      </c>
      <c r="K157" s="37">
        <v>410.98</v>
      </c>
      <c r="L157" s="38">
        <v>46143</v>
      </c>
      <c r="M157" s="12">
        <v>9.2499999999999999E-2</v>
      </c>
      <c r="N157" s="11">
        <f>_xlfn.XLOOKUP(E157,ICMS!C:C,ICMS!D:D)</f>
        <v>0.18</v>
      </c>
      <c r="O157" s="36">
        <f t="shared" si="7"/>
        <v>156</v>
      </c>
      <c r="P157" s="10"/>
      <c r="Q157" s="10" t="s">
        <v>139</v>
      </c>
      <c r="R157" s="28" t="s">
        <v>164</v>
      </c>
      <c r="S157" s="26" t="s">
        <v>163</v>
      </c>
    </row>
    <row r="158" spans="1:19" x14ac:dyDescent="0.3">
      <c r="A158" s="33" t="s">
        <v>8</v>
      </c>
      <c r="B158" s="34" t="s">
        <v>36</v>
      </c>
      <c r="C158" s="35" t="s">
        <v>46</v>
      </c>
      <c r="D158" s="36">
        <v>4</v>
      </c>
      <c r="E158" s="36" t="s">
        <v>36</v>
      </c>
      <c r="F158" s="36" t="s">
        <v>37</v>
      </c>
      <c r="G158" s="36" t="s">
        <v>40</v>
      </c>
      <c r="H158" s="24">
        <f t="shared" si="6"/>
        <v>2000.01</v>
      </c>
      <c r="I158" s="24">
        <v>99999999999</v>
      </c>
      <c r="J158" s="27">
        <v>5.6264000000000003</v>
      </c>
      <c r="K158" s="37">
        <v>1774.55</v>
      </c>
      <c r="L158" s="38">
        <v>46143</v>
      </c>
      <c r="M158" s="12">
        <v>9.2499999999999999E-2</v>
      </c>
      <c r="N158" s="11">
        <f>_xlfn.XLOOKUP(E158,ICMS!C:C,ICMS!D:D)</f>
        <v>0.18</v>
      </c>
      <c r="O158" s="36">
        <f t="shared" si="7"/>
        <v>157</v>
      </c>
      <c r="P158" s="10"/>
      <c r="Q158" s="10" t="s">
        <v>139</v>
      </c>
      <c r="R158" s="28" t="s">
        <v>164</v>
      </c>
      <c r="S158" s="26" t="s">
        <v>163</v>
      </c>
    </row>
    <row r="159" spans="1:19" x14ac:dyDescent="0.3">
      <c r="A159" s="33" t="s">
        <v>15</v>
      </c>
      <c r="B159" s="34" t="s">
        <v>41</v>
      </c>
      <c r="C159" s="35" t="s">
        <v>46</v>
      </c>
      <c r="D159" s="36">
        <v>1</v>
      </c>
      <c r="E159" s="36" t="s">
        <v>41</v>
      </c>
      <c r="F159" s="36" t="s">
        <v>42</v>
      </c>
      <c r="G159" s="36" t="s">
        <v>21</v>
      </c>
      <c r="H159" s="24">
        <v>0</v>
      </c>
      <c r="I159" s="24">
        <v>1500</v>
      </c>
      <c r="J159" s="27">
        <v>3.4129999999999998</v>
      </c>
      <c r="K159" s="37">
        <v>0</v>
      </c>
      <c r="L159" s="38">
        <v>46050</v>
      </c>
      <c r="M159" s="12">
        <v>9.2499999999999999E-2</v>
      </c>
      <c r="N159" s="11">
        <f>_xlfn.XLOOKUP(E159,ICMS!C:C,ICMS!D:D)</f>
        <v>0.12</v>
      </c>
      <c r="O159" s="36">
        <f t="shared" si="7"/>
        <v>158</v>
      </c>
      <c r="P159" s="10"/>
      <c r="Q159" s="10" t="s">
        <v>140</v>
      </c>
      <c r="R159" s="28" t="s">
        <v>148</v>
      </c>
      <c r="S159" s="26" t="s">
        <v>166</v>
      </c>
    </row>
    <row r="160" spans="1:19" x14ac:dyDescent="0.3">
      <c r="A160" s="33" t="s">
        <v>15</v>
      </c>
      <c r="B160" s="34" t="s">
        <v>41</v>
      </c>
      <c r="C160" s="35" t="s">
        <v>46</v>
      </c>
      <c r="D160" s="36">
        <v>2</v>
      </c>
      <c r="E160" s="36" t="s">
        <v>41</v>
      </c>
      <c r="F160" s="36" t="s">
        <v>42</v>
      </c>
      <c r="G160" s="36" t="s">
        <v>21</v>
      </c>
      <c r="H160" s="24">
        <f t="shared" si="6"/>
        <v>1500.01</v>
      </c>
      <c r="I160" s="24">
        <v>3000</v>
      </c>
      <c r="J160" s="27">
        <v>2.8856000000000002</v>
      </c>
      <c r="K160" s="37">
        <v>0</v>
      </c>
      <c r="L160" s="38">
        <v>46050</v>
      </c>
      <c r="M160" s="12">
        <v>9.2499999999999999E-2</v>
      </c>
      <c r="N160" s="11">
        <f>_xlfn.XLOOKUP(E160,ICMS!C:C,ICMS!D:D)</f>
        <v>0.12</v>
      </c>
      <c r="O160" s="36">
        <f t="shared" si="7"/>
        <v>159</v>
      </c>
      <c r="P160" s="10"/>
      <c r="Q160" s="10" t="s">
        <v>140</v>
      </c>
      <c r="R160" s="28" t="s">
        <v>148</v>
      </c>
      <c r="S160" s="26" t="s">
        <v>166</v>
      </c>
    </row>
    <row r="161" spans="1:19" x14ac:dyDescent="0.3">
      <c r="A161" s="33" t="s">
        <v>15</v>
      </c>
      <c r="B161" s="34" t="s">
        <v>41</v>
      </c>
      <c r="C161" s="35" t="s">
        <v>46</v>
      </c>
      <c r="D161" s="36">
        <v>3</v>
      </c>
      <c r="E161" s="36" t="s">
        <v>41</v>
      </c>
      <c r="F161" s="36" t="s">
        <v>42</v>
      </c>
      <c r="G161" s="36" t="s">
        <v>21</v>
      </c>
      <c r="H161" s="24">
        <f t="shared" si="6"/>
        <v>3000.01</v>
      </c>
      <c r="I161" s="24">
        <v>15000</v>
      </c>
      <c r="J161" s="27">
        <v>2.8513000000000002</v>
      </c>
      <c r="K161" s="37">
        <v>0</v>
      </c>
      <c r="L161" s="38">
        <v>46050</v>
      </c>
      <c r="M161" s="12">
        <v>9.2499999999999999E-2</v>
      </c>
      <c r="N161" s="11">
        <f>_xlfn.XLOOKUP(E161,ICMS!C:C,ICMS!D:D)</f>
        <v>0.12</v>
      </c>
      <c r="O161" s="36">
        <f t="shared" si="7"/>
        <v>160</v>
      </c>
      <c r="P161" s="10"/>
      <c r="Q161" s="10" t="s">
        <v>140</v>
      </c>
      <c r="R161" s="28" t="s">
        <v>148</v>
      </c>
      <c r="S161" s="26" t="s">
        <v>166</v>
      </c>
    </row>
    <row r="162" spans="1:19" x14ac:dyDescent="0.3">
      <c r="A162" s="33" t="s">
        <v>15</v>
      </c>
      <c r="B162" s="34" t="s">
        <v>41</v>
      </c>
      <c r="C162" s="35" t="s">
        <v>46</v>
      </c>
      <c r="D162" s="36">
        <v>4</v>
      </c>
      <c r="E162" s="36" t="s">
        <v>41</v>
      </c>
      <c r="F162" s="36" t="s">
        <v>42</v>
      </c>
      <c r="G162" s="36" t="s">
        <v>21</v>
      </c>
      <c r="H162" s="24">
        <f t="shared" si="6"/>
        <v>15000.01</v>
      </c>
      <c r="I162" s="24">
        <v>60000</v>
      </c>
      <c r="J162" s="27">
        <v>2.8340999999999998</v>
      </c>
      <c r="K162" s="37">
        <v>0</v>
      </c>
      <c r="L162" s="38">
        <v>46050</v>
      </c>
      <c r="M162" s="12">
        <v>9.2499999999999999E-2</v>
      </c>
      <c r="N162" s="11">
        <f>_xlfn.XLOOKUP(E162,ICMS!C:C,ICMS!D:D)</f>
        <v>0.12</v>
      </c>
      <c r="O162" s="36">
        <f t="shared" si="7"/>
        <v>161</v>
      </c>
      <c r="P162" s="10"/>
      <c r="Q162" s="10" t="s">
        <v>140</v>
      </c>
      <c r="R162" s="28" t="s">
        <v>148</v>
      </c>
      <c r="S162" s="26" t="s">
        <v>166</v>
      </c>
    </row>
    <row r="163" spans="1:19" x14ac:dyDescent="0.3">
      <c r="A163" s="33" t="s">
        <v>15</v>
      </c>
      <c r="B163" s="34" t="s">
        <v>41</v>
      </c>
      <c r="C163" s="35" t="s">
        <v>46</v>
      </c>
      <c r="D163" s="36">
        <v>5</v>
      </c>
      <c r="E163" s="36" t="s">
        <v>41</v>
      </c>
      <c r="F163" s="36" t="s">
        <v>42</v>
      </c>
      <c r="G163" s="36" t="s">
        <v>21</v>
      </c>
      <c r="H163" s="24">
        <f t="shared" si="6"/>
        <v>60000.01</v>
      </c>
      <c r="I163" s="24">
        <v>480000</v>
      </c>
      <c r="J163" s="27">
        <v>2.7376999999999998</v>
      </c>
      <c r="K163" s="37">
        <v>0</v>
      </c>
      <c r="L163" s="38">
        <v>46050</v>
      </c>
      <c r="M163" s="12">
        <v>9.2499999999999999E-2</v>
      </c>
      <c r="N163" s="11">
        <f>_xlfn.XLOOKUP(E163,ICMS!C:C,ICMS!D:D)</f>
        <v>0.12</v>
      </c>
      <c r="O163" s="36">
        <f t="shared" si="7"/>
        <v>162</v>
      </c>
      <c r="P163" s="10"/>
      <c r="Q163" s="10" t="s">
        <v>140</v>
      </c>
      <c r="R163" s="28" t="s">
        <v>148</v>
      </c>
      <c r="S163" s="26" t="s">
        <v>166</v>
      </c>
    </row>
    <row r="164" spans="1:19" x14ac:dyDescent="0.3">
      <c r="A164" s="33" t="s">
        <v>15</v>
      </c>
      <c r="B164" s="34" t="s">
        <v>41</v>
      </c>
      <c r="C164" s="35" t="s">
        <v>46</v>
      </c>
      <c r="D164" s="36">
        <v>6</v>
      </c>
      <c r="E164" s="36" t="s">
        <v>41</v>
      </c>
      <c r="F164" s="36" t="s">
        <v>42</v>
      </c>
      <c r="G164" s="36" t="s">
        <v>21</v>
      </c>
      <c r="H164" s="24">
        <f t="shared" si="6"/>
        <v>480000.01</v>
      </c>
      <c r="I164" s="24">
        <v>960000</v>
      </c>
      <c r="J164" s="27">
        <v>2.4156</v>
      </c>
      <c r="K164" s="37">
        <v>0</v>
      </c>
      <c r="L164" s="38">
        <v>46050</v>
      </c>
      <c r="M164" s="12">
        <v>9.2499999999999999E-2</v>
      </c>
      <c r="N164" s="11">
        <f>_xlfn.XLOOKUP(E164,ICMS!C:C,ICMS!D:D)</f>
        <v>0.12</v>
      </c>
      <c r="O164" s="36">
        <f t="shared" si="7"/>
        <v>163</v>
      </c>
      <c r="P164" s="10"/>
      <c r="Q164" s="10" t="s">
        <v>140</v>
      </c>
      <c r="R164" s="28" t="s">
        <v>148</v>
      </c>
      <c r="S164" s="26" t="s">
        <v>166</v>
      </c>
    </row>
    <row r="165" spans="1:19" x14ac:dyDescent="0.3">
      <c r="A165" s="33" t="s">
        <v>15</v>
      </c>
      <c r="B165" s="34" t="s">
        <v>41</v>
      </c>
      <c r="C165" s="35" t="s">
        <v>46</v>
      </c>
      <c r="D165" s="36">
        <v>7</v>
      </c>
      <c r="E165" s="36" t="s">
        <v>41</v>
      </c>
      <c r="F165" s="36" t="s">
        <v>42</v>
      </c>
      <c r="G165" s="36" t="s">
        <v>21</v>
      </c>
      <c r="H165" s="24">
        <f t="shared" si="6"/>
        <v>960000.01</v>
      </c>
      <c r="I165" s="24">
        <v>1920000</v>
      </c>
      <c r="J165" s="27">
        <v>2.3812000000000002</v>
      </c>
      <c r="K165" s="37">
        <v>0</v>
      </c>
      <c r="L165" s="38">
        <v>46050</v>
      </c>
      <c r="M165" s="12">
        <v>9.2499999999999999E-2</v>
      </c>
      <c r="N165" s="11">
        <f>_xlfn.XLOOKUP(E165,ICMS!C:C,ICMS!D:D)</f>
        <v>0.12</v>
      </c>
      <c r="O165" s="36">
        <f t="shared" si="7"/>
        <v>164</v>
      </c>
      <c r="P165" s="10"/>
      <c r="Q165" s="10" t="s">
        <v>140</v>
      </c>
      <c r="R165" s="28" t="s">
        <v>148</v>
      </c>
      <c r="S165" s="26" t="s">
        <v>166</v>
      </c>
    </row>
    <row r="166" spans="1:19" x14ac:dyDescent="0.3">
      <c r="A166" s="33" t="s">
        <v>15</v>
      </c>
      <c r="B166" s="34" t="s">
        <v>41</v>
      </c>
      <c r="C166" s="35" t="s">
        <v>46</v>
      </c>
      <c r="D166" s="36">
        <v>8</v>
      </c>
      <c r="E166" s="36" t="s">
        <v>41</v>
      </c>
      <c r="F166" s="36" t="s">
        <v>42</v>
      </c>
      <c r="G166" s="36" t="s">
        <v>21</v>
      </c>
      <c r="H166" s="24">
        <f t="shared" si="6"/>
        <v>1920000.01</v>
      </c>
      <c r="I166" s="24">
        <v>99999999999</v>
      </c>
      <c r="J166" s="27">
        <v>2.3239000000000001</v>
      </c>
      <c r="K166" s="37">
        <v>0</v>
      </c>
      <c r="L166" s="38">
        <v>46050</v>
      </c>
      <c r="M166" s="12">
        <v>9.2499999999999999E-2</v>
      </c>
      <c r="N166" s="11">
        <f>_xlfn.XLOOKUP(E166,ICMS!C:C,ICMS!D:D)</f>
        <v>0.12</v>
      </c>
      <c r="O166" s="36">
        <f t="shared" si="7"/>
        <v>165</v>
      </c>
      <c r="P166" s="10"/>
      <c r="Q166" s="10" t="s">
        <v>140</v>
      </c>
      <c r="R166" s="28" t="s">
        <v>148</v>
      </c>
      <c r="S166" s="26" t="s">
        <v>166</v>
      </c>
    </row>
    <row r="167" spans="1:19" x14ac:dyDescent="0.3">
      <c r="A167" s="33" t="s">
        <v>18</v>
      </c>
      <c r="B167" s="34" t="s">
        <v>41</v>
      </c>
      <c r="C167" s="35" t="s">
        <v>46</v>
      </c>
      <c r="D167" s="36">
        <v>1</v>
      </c>
      <c r="E167" s="36" t="s">
        <v>41</v>
      </c>
      <c r="F167" s="36" t="s">
        <v>42</v>
      </c>
      <c r="G167" s="36" t="s">
        <v>44</v>
      </c>
      <c r="H167" s="24">
        <v>0</v>
      </c>
      <c r="I167" s="24">
        <v>0.99900000000000011</v>
      </c>
      <c r="J167" s="27">
        <v>1.8653999999999999</v>
      </c>
      <c r="K167" s="37">
        <v>17.489999999999998</v>
      </c>
      <c r="L167" s="38">
        <v>46050</v>
      </c>
      <c r="M167" s="12">
        <v>9.2499999999999999E-2</v>
      </c>
      <c r="N167" s="11">
        <f>_xlfn.XLOOKUP(E167,ICMS!C:C,ICMS!D:D)</f>
        <v>0.12</v>
      </c>
      <c r="O167" s="36">
        <f t="shared" si="7"/>
        <v>166</v>
      </c>
      <c r="P167" s="10"/>
      <c r="Q167" s="10" t="s">
        <v>140</v>
      </c>
      <c r="R167" s="28" t="s">
        <v>148</v>
      </c>
      <c r="S167" s="26" t="s">
        <v>166</v>
      </c>
    </row>
    <row r="168" spans="1:19" x14ac:dyDescent="0.3">
      <c r="A168" s="33" t="s">
        <v>18</v>
      </c>
      <c r="B168" s="34" t="s">
        <v>41</v>
      </c>
      <c r="C168" s="35" t="s">
        <v>46</v>
      </c>
      <c r="D168" s="36">
        <v>2</v>
      </c>
      <c r="E168" s="36" t="s">
        <v>41</v>
      </c>
      <c r="F168" s="36" t="s">
        <v>42</v>
      </c>
      <c r="G168" s="36" t="s">
        <v>44</v>
      </c>
      <c r="H168" s="24">
        <f>I167+0.001</f>
        <v>1</v>
      </c>
      <c r="I168" s="24">
        <v>3</v>
      </c>
      <c r="J168" s="27">
        <v>8.2850000000000001</v>
      </c>
      <c r="K168" s="37">
        <v>17.489999999999998</v>
      </c>
      <c r="L168" s="38">
        <v>46050</v>
      </c>
      <c r="M168" s="12">
        <v>9.2499999999999999E-2</v>
      </c>
      <c r="N168" s="11">
        <f>_xlfn.XLOOKUP(E168,ICMS!C:C,ICMS!D:D)</f>
        <v>0.12</v>
      </c>
      <c r="O168" s="36">
        <f t="shared" si="7"/>
        <v>167</v>
      </c>
      <c r="P168" s="10"/>
      <c r="Q168" s="10" t="s">
        <v>140</v>
      </c>
      <c r="R168" s="28" t="s">
        <v>148</v>
      </c>
      <c r="S168" s="26" t="s">
        <v>166</v>
      </c>
    </row>
    <row r="169" spans="1:19" x14ac:dyDescent="0.3">
      <c r="A169" s="33" t="s">
        <v>18</v>
      </c>
      <c r="B169" s="34" t="s">
        <v>41</v>
      </c>
      <c r="C169" s="35" t="s">
        <v>46</v>
      </c>
      <c r="D169" s="36">
        <v>3</v>
      </c>
      <c r="E169" s="36" t="s">
        <v>41</v>
      </c>
      <c r="F169" s="36" t="s">
        <v>42</v>
      </c>
      <c r="G169" s="36" t="s">
        <v>44</v>
      </c>
      <c r="H169" s="24">
        <f>I168+0.001</f>
        <v>3.0009999999999999</v>
      </c>
      <c r="I169" s="24">
        <v>12</v>
      </c>
      <c r="J169" s="27">
        <v>5.5336999999999996</v>
      </c>
      <c r="K169" s="37">
        <v>17.489999999999998</v>
      </c>
      <c r="L169" s="38">
        <v>46050</v>
      </c>
      <c r="M169" s="12">
        <v>9.2499999999999999E-2</v>
      </c>
      <c r="N169" s="11">
        <f>_xlfn.XLOOKUP(E169,ICMS!C:C,ICMS!D:D)</f>
        <v>0.12</v>
      </c>
      <c r="O169" s="36">
        <f t="shared" si="7"/>
        <v>168</v>
      </c>
      <c r="P169" s="10"/>
      <c r="Q169" s="10" t="s">
        <v>140</v>
      </c>
      <c r="R169" s="28" t="s">
        <v>148</v>
      </c>
      <c r="S169" s="26" t="s">
        <v>166</v>
      </c>
    </row>
    <row r="170" spans="1:19" x14ac:dyDescent="0.3">
      <c r="A170" s="33" t="s">
        <v>18</v>
      </c>
      <c r="B170" s="34" t="s">
        <v>41</v>
      </c>
      <c r="C170" s="35" t="s">
        <v>46</v>
      </c>
      <c r="D170" s="36">
        <v>4</v>
      </c>
      <c r="E170" s="36" t="s">
        <v>41</v>
      </c>
      <c r="F170" s="36" t="s">
        <v>42</v>
      </c>
      <c r="G170" s="36" t="s">
        <v>44</v>
      </c>
      <c r="H170" s="24">
        <f>I169+0.001</f>
        <v>12.000999999999999</v>
      </c>
      <c r="I170" s="24">
        <v>18</v>
      </c>
      <c r="J170" s="27">
        <v>5.1898</v>
      </c>
      <c r="K170" s="37">
        <v>17.489999999999998</v>
      </c>
      <c r="L170" s="38">
        <v>46050</v>
      </c>
      <c r="M170" s="12">
        <v>9.2499999999999999E-2</v>
      </c>
      <c r="N170" s="11">
        <f>_xlfn.XLOOKUP(E170,ICMS!C:C,ICMS!D:D)</f>
        <v>0.12</v>
      </c>
      <c r="O170" s="36">
        <f t="shared" si="7"/>
        <v>169</v>
      </c>
      <c r="P170" s="10"/>
      <c r="Q170" s="10" t="s">
        <v>140</v>
      </c>
      <c r="R170" s="28" t="s">
        <v>148</v>
      </c>
      <c r="S170" s="26" t="s">
        <v>166</v>
      </c>
    </row>
    <row r="171" spans="1:19" x14ac:dyDescent="0.3">
      <c r="A171" s="33" t="s">
        <v>18</v>
      </c>
      <c r="B171" s="34" t="s">
        <v>41</v>
      </c>
      <c r="C171" s="35" t="s">
        <v>46</v>
      </c>
      <c r="D171" s="36">
        <v>5</v>
      </c>
      <c r="E171" s="36" t="s">
        <v>41</v>
      </c>
      <c r="F171" s="36" t="s">
        <v>42</v>
      </c>
      <c r="G171" s="36" t="s">
        <v>44</v>
      </c>
      <c r="H171" s="24">
        <f>I170+0.001</f>
        <v>18.001000000000001</v>
      </c>
      <c r="I171" s="24">
        <v>39.998999999999995</v>
      </c>
      <c r="J171" s="27">
        <v>6.3361999999999998</v>
      </c>
      <c r="K171" s="37">
        <v>17.489999999999998</v>
      </c>
      <c r="L171" s="38">
        <v>46050</v>
      </c>
      <c r="M171" s="12">
        <v>9.2499999999999999E-2</v>
      </c>
      <c r="N171" s="11">
        <f>_xlfn.XLOOKUP(E171,ICMS!C:C,ICMS!D:D)</f>
        <v>0.12</v>
      </c>
      <c r="O171" s="36">
        <f t="shared" si="7"/>
        <v>170</v>
      </c>
      <c r="P171" s="10"/>
      <c r="Q171" s="10" t="s">
        <v>140</v>
      </c>
      <c r="R171" s="28" t="s">
        <v>148</v>
      </c>
      <c r="S171" s="26" t="s">
        <v>166</v>
      </c>
    </row>
    <row r="172" spans="1:19" x14ac:dyDescent="0.3">
      <c r="A172" s="33" t="s">
        <v>18</v>
      </c>
      <c r="B172" s="34" t="s">
        <v>41</v>
      </c>
      <c r="C172" s="35" t="s">
        <v>46</v>
      </c>
      <c r="D172" s="36">
        <v>6</v>
      </c>
      <c r="E172" s="36" t="s">
        <v>41</v>
      </c>
      <c r="F172" s="36" t="s">
        <v>42</v>
      </c>
      <c r="G172" s="36" t="s">
        <v>44</v>
      </c>
      <c r="H172" s="24">
        <f t="shared" ref="H172:H185" si="8">I171+0.01</f>
        <v>40.008999999999993</v>
      </c>
      <c r="I172" s="24">
        <v>99999999999</v>
      </c>
      <c r="J172" s="27">
        <v>5.8776000000000002</v>
      </c>
      <c r="K172" s="37">
        <v>17.489999999999998</v>
      </c>
      <c r="L172" s="38">
        <v>46050</v>
      </c>
      <c r="M172" s="12">
        <v>9.2499999999999999E-2</v>
      </c>
      <c r="N172" s="11">
        <f>_xlfn.XLOOKUP(E172,ICMS!C:C,ICMS!D:D)</f>
        <v>0.12</v>
      </c>
      <c r="O172" s="36">
        <f t="shared" si="7"/>
        <v>171</v>
      </c>
      <c r="P172" s="10"/>
      <c r="Q172" s="10" t="s">
        <v>140</v>
      </c>
      <c r="R172" s="28" t="s">
        <v>148</v>
      </c>
      <c r="S172" s="26" t="s">
        <v>166</v>
      </c>
    </row>
    <row r="173" spans="1:19" x14ac:dyDescent="0.3">
      <c r="A173" s="33" t="s">
        <v>8</v>
      </c>
      <c r="B173" s="34" t="s">
        <v>41</v>
      </c>
      <c r="C173" s="35" t="s">
        <v>46</v>
      </c>
      <c r="D173" s="36">
        <v>1</v>
      </c>
      <c r="E173" s="36" t="s">
        <v>41</v>
      </c>
      <c r="F173" s="36" t="s">
        <v>42</v>
      </c>
      <c r="G173" s="36" t="s">
        <v>43</v>
      </c>
      <c r="H173" s="24">
        <v>0</v>
      </c>
      <c r="I173" s="24">
        <v>90</v>
      </c>
      <c r="J173" s="27">
        <v>6.2039999999999997</v>
      </c>
      <c r="K173" s="37">
        <v>50.73</v>
      </c>
      <c r="L173" s="38">
        <v>46050</v>
      </c>
      <c r="M173" s="12">
        <v>9.2499999999999999E-2</v>
      </c>
      <c r="N173" s="11">
        <f>_xlfn.XLOOKUP(E173,ICMS!C:C,ICMS!D:D)</f>
        <v>0.12</v>
      </c>
      <c r="O173" s="36">
        <f t="shared" si="7"/>
        <v>172</v>
      </c>
      <c r="P173" s="10"/>
      <c r="Q173" s="10" t="s">
        <v>140</v>
      </c>
      <c r="R173" s="28" t="s">
        <v>148</v>
      </c>
      <c r="S173" s="26" t="s">
        <v>166</v>
      </c>
    </row>
    <row r="174" spans="1:19" x14ac:dyDescent="0.3">
      <c r="A174" s="33" t="s">
        <v>8</v>
      </c>
      <c r="B174" s="34" t="s">
        <v>41</v>
      </c>
      <c r="C174" s="35" t="s">
        <v>46</v>
      </c>
      <c r="D174" s="36">
        <v>2</v>
      </c>
      <c r="E174" s="36" t="s">
        <v>41</v>
      </c>
      <c r="F174" s="36" t="s">
        <v>42</v>
      </c>
      <c r="G174" s="36" t="s">
        <v>43</v>
      </c>
      <c r="H174" s="24">
        <f t="shared" si="8"/>
        <v>90.01</v>
      </c>
      <c r="I174" s="24">
        <v>1800</v>
      </c>
      <c r="J174" s="27">
        <v>5.1844000000000001</v>
      </c>
      <c r="K174" s="37">
        <v>50.73</v>
      </c>
      <c r="L174" s="38">
        <v>46050</v>
      </c>
      <c r="M174" s="12">
        <v>9.2499999999999999E-2</v>
      </c>
      <c r="N174" s="11">
        <f>_xlfn.XLOOKUP(E174,ICMS!C:C,ICMS!D:D)</f>
        <v>0.12</v>
      </c>
      <c r="O174" s="36">
        <f t="shared" si="7"/>
        <v>173</v>
      </c>
      <c r="P174" s="10"/>
      <c r="Q174" s="10" t="s">
        <v>140</v>
      </c>
      <c r="R174" s="28" t="s">
        <v>148</v>
      </c>
      <c r="S174" s="26" t="s">
        <v>166</v>
      </c>
    </row>
    <row r="175" spans="1:19" x14ac:dyDescent="0.3">
      <c r="A175" s="33" t="s">
        <v>8</v>
      </c>
      <c r="B175" s="34" t="s">
        <v>41</v>
      </c>
      <c r="C175" s="35" t="s">
        <v>46</v>
      </c>
      <c r="D175" s="36">
        <v>3</v>
      </c>
      <c r="E175" s="36" t="s">
        <v>41</v>
      </c>
      <c r="F175" s="36" t="s">
        <v>42</v>
      </c>
      <c r="G175" s="36" t="s">
        <v>43</v>
      </c>
      <c r="H175" s="24">
        <f t="shared" si="8"/>
        <v>1800.01</v>
      </c>
      <c r="I175" s="24">
        <v>2700</v>
      </c>
      <c r="J175" s="27">
        <v>4.4043999999999999</v>
      </c>
      <c r="K175" s="37">
        <v>50.73</v>
      </c>
      <c r="L175" s="38">
        <v>46050</v>
      </c>
      <c r="M175" s="12">
        <v>9.2499999999999999E-2</v>
      </c>
      <c r="N175" s="11">
        <f>_xlfn.XLOOKUP(E175,ICMS!C:C,ICMS!D:D)</f>
        <v>0.12</v>
      </c>
      <c r="O175" s="36">
        <f t="shared" si="7"/>
        <v>174</v>
      </c>
      <c r="P175" s="10"/>
      <c r="Q175" s="10" t="s">
        <v>140</v>
      </c>
      <c r="R175" s="28" t="s">
        <v>148</v>
      </c>
      <c r="S175" s="26" t="s">
        <v>166</v>
      </c>
    </row>
    <row r="176" spans="1:19" x14ac:dyDescent="0.3">
      <c r="A176" s="33" t="s">
        <v>8</v>
      </c>
      <c r="B176" s="34" t="s">
        <v>41</v>
      </c>
      <c r="C176" s="35" t="s">
        <v>46</v>
      </c>
      <c r="D176" s="36">
        <v>4</v>
      </c>
      <c r="E176" s="36" t="s">
        <v>41</v>
      </c>
      <c r="F176" s="36" t="s">
        <v>42</v>
      </c>
      <c r="G176" s="36" t="s">
        <v>43</v>
      </c>
      <c r="H176" s="24">
        <f t="shared" si="8"/>
        <v>2700.01</v>
      </c>
      <c r="I176" s="24">
        <v>99999999999</v>
      </c>
      <c r="J176" s="27">
        <v>5.1661999999999999</v>
      </c>
      <c r="K176" s="37">
        <v>152.19</v>
      </c>
      <c r="L176" s="38">
        <v>46050</v>
      </c>
      <c r="M176" s="12">
        <v>9.2499999999999999E-2</v>
      </c>
      <c r="N176" s="11">
        <f>_xlfn.XLOOKUP(E176,ICMS!C:C,ICMS!D:D)</f>
        <v>0.12</v>
      </c>
      <c r="O176" s="36">
        <f t="shared" si="7"/>
        <v>175</v>
      </c>
      <c r="P176" s="10"/>
      <c r="Q176" s="10" t="s">
        <v>140</v>
      </c>
      <c r="R176" s="28" t="s">
        <v>148</v>
      </c>
      <c r="S176" s="26" t="s">
        <v>166</v>
      </c>
    </row>
    <row r="177" spans="1:19" x14ac:dyDescent="0.3">
      <c r="A177" s="33" t="s">
        <v>13</v>
      </c>
      <c r="B177" s="34" t="s">
        <v>41</v>
      </c>
      <c r="C177" s="35" t="s">
        <v>46</v>
      </c>
      <c r="D177" s="36">
        <v>1</v>
      </c>
      <c r="E177" s="36" t="s">
        <v>41</v>
      </c>
      <c r="F177" s="36" t="s">
        <v>42</v>
      </c>
      <c r="G177" s="36" t="s">
        <v>14</v>
      </c>
      <c r="H177" s="24">
        <v>0</v>
      </c>
      <c r="I177" s="24">
        <v>300</v>
      </c>
      <c r="J177" s="27">
        <v>5.1898</v>
      </c>
      <c r="K177" s="37">
        <v>50.73</v>
      </c>
      <c r="L177" s="38">
        <v>46050</v>
      </c>
      <c r="M177" s="12">
        <v>9.2499999999999999E-2</v>
      </c>
      <c r="N177" s="11">
        <f>_xlfn.XLOOKUP(E177,ICMS!C:C,ICMS!D:D)</f>
        <v>0.12</v>
      </c>
      <c r="O177" s="36">
        <f t="shared" si="7"/>
        <v>176</v>
      </c>
      <c r="P177" s="10"/>
      <c r="Q177" s="10" t="s">
        <v>140</v>
      </c>
      <c r="R177" s="28" t="s">
        <v>148</v>
      </c>
      <c r="S177" s="26" t="s">
        <v>166</v>
      </c>
    </row>
    <row r="178" spans="1:19" x14ac:dyDescent="0.3">
      <c r="A178" s="33" t="s">
        <v>13</v>
      </c>
      <c r="B178" s="34" t="s">
        <v>41</v>
      </c>
      <c r="C178" s="35" t="s">
        <v>46</v>
      </c>
      <c r="D178" s="36">
        <v>2</v>
      </c>
      <c r="E178" s="36" t="s">
        <v>41</v>
      </c>
      <c r="F178" s="36" t="s">
        <v>42</v>
      </c>
      <c r="G178" s="36" t="s">
        <v>14</v>
      </c>
      <c r="H178" s="24">
        <f t="shared" si="8"/>
        <v>300.01</v>
      </c>
      <c r="I178" s="24">
        <v>600</v>
      </c>
      <c r="J178" s="27">
        <v>4.6969000000000003</v>
      </c>
      <c r="K178" s="37">
        <v>50.73</v>
      </c>
      <c r="L178" s="38">
        <v>46050</v>
      </c>
      <c r="M178" s="12">
        <v>9.2499999999999999E-2</v>
      </c>
      <c r="N178" s="11">
        <f>_xlfn.XLOOKUP(E178,ICMS!C:C,ICMS!D:D)</f>
        <v>0.12</v>
      </c>
      <c r="O178" s="36">
        <f t="shared" si="7"/>
        <v>177</v>
      </c>
      <c r="P178" s="10"/>
      <c r="Q178" s="10" t="s">
        <v>140</v>
      </c>
      <c r="R178" s="28" t="s">
        <v>148</v>
      </c>
      <c r="S178" s="26" t="s">
        <v>166</v>
      </c>
    </row>
    <row r="179" spans="1:19" x14ac:dyDescent="0.3">
      <c r="A179" s="33" t="s">
        <v>13</v>
      </c>
      <c r="B179" s="34" t="s">
        <v>41</v>
      </c>
      <c r="C179" s="35" t="s">
        <v>46</v>
      </c>
      <c r="D179" s="36">
        <v>3</v>
      </c>
      <c r="E179" s="36" t="s">
        <v>41</v>
      </c>
      <c r="F179" s="36" t="s">
        <v>42</v>
      </c>
      <c r="G179" s="36" t="s">
        <v>14</v>
      </c>
      <c r="H179" s="24">
        <f t="shared" si="8"/>
        <v>600.01</v>
      </c>
      <c r="I179" s="24">
        <v>1200</v>
      </c>
      <c r="J179" s="27">
        <v>4.6738999999999997</v>
      </c>
      <c r="K179" s="37">
        <v>50.73</v>
      </c>
      <c r="L179" s="38">
        <v>46050</v>
      </c>
      <c r="M179" s="12">
        <v>9.2499999999999999E-2</v>
      </c>
      <c r="N179" s="11">
        <f>_xlfn.XLOOKUP(E179,ICMS!C:C,ICMS!D:D)</f>
        <v>0.12</v>
      </c>
      <c r="O179" s="36">
        <f t="shared" si="7"/>
        <v>178</v>
      </c>
      <c r="P179" s="10"/>
      <c r="Q179" s="10" t="s">
        <v>140</v>
      </c>
      <c r="R179" s="28" t="s">
        <v>148</v>
      </c>
      <c r="S179" s="26" t="s">
        <v>166</v>
      </c>
    </row>
    <row r="180" spans="1:19" x14ac:dyDescent="0.3">
      <c r="A180" s="33" t="s">
        <v>13</v>
      </c>
      <c r="B180" s="34" t="s">
        <v>41</v>
      </c>
      <c r="C180" s="35" t="s">
        <v>46</v>
      </c>
      <c r="D180" s="36">
        <v>4</v>
      </c>
      <c r="E180" s="36" t="s">
        <v>41</v>
      </c>
      <c r="F180" s="36" t="s">
        <v>42</v>
      </c>
      <c r="G180" s="36" t="s">
        <v>14</v>
      </c>
      <c r="H180" s="24">
        <f t="shared" si="8"/>
        <v>1200.01</v>
      </c>
      <c r="I180" s="24">
        <v>2400</v>
      </c>
      <c r="J180" s="27">
        <v>4.6440999999999999</v>
      </c>
      <c r="K180" s="37">
        <v>50.73</v>
      </c>
      <c r="L180" s="38">
        <v>46050</v>
      </c>
      <c r="M180" s="12">
        <v>9.2499999999999999E-2</v>
      </c>
      <c r="N180" s="11">
        <f>_xlfn.XLOOKUP(E180,ICMS!C:C,ICMS!D:D)</f>
        <v>0.12</v>
      </c>
      <c r="O180" s="36">
        <f t="shared" si="7"/>
        <v>179</v>
      </c>
      <c r="P180" s="10"/>
      <c r="Q180" s="10" t="s">
        <v>140</v>
      </c>
      <c r="R180" s="28" t="s">
        <v>148</v>
      </c>
      <c r="S180" s="26" t="s">
        <v>166</v>
      </c>
    </row>
    <row r="181" spans="1:19" x14ac:dyDescent="0.3">
      <c r="A181" s="33" t="s">
        <v>13</v>
      </c>
      <c r="B181" s="34" t="s">
        <v>41</v>
      </c>
      <c r="C181" s="35" t="s">
        <v>46</v>
      </c>
      <c r="D181" s="36">
        <v>5</v>
      </c>
      <c r="E181" s="36" t="s">
        <v>41</v>
      </c>
      <c r="F181" s="36" t="s">
        <v>42</v>
      </c>
      <c r="G181" s="36" t="s">
        <v>14</v>
      </c>
      <c r="H181" s="24">
        <f t="shared" si="8"/>
        <v>2400.0100000000002</v>
      </c>
      <c r="I181" s="24">
        <v>4800</v>
      </c>
      <c r="J181" s="27">
        <v>4.5937000000000001</v>
      </c>
      <c r="K181" s="37">
        <v>152.19</v>
      </c>
      <c r="L181" s="38">
        <v>46050</v>
      </c>
      <c r="M181" s="12">
        <v>9.2499999999999999E-2</v>
      </c>
      <c r="N181" s="11">
        <f>_xlfn.XLOOKUP(E181,ICMS!C:C,ICMS!D:D)</f>
        <v>0.12</v>
      </c>
      <c r="O181" s="36">
        <f t="shared" si="7"/>
        <v>180</v>
      </c>
      <c r="P181" s="10"/>
      <c r="Q181" s="10" t="s">
        <v>140</v>
      </c>
      <c r="R181" s="28" t="s">
        <v>148</v>
      </c>
      <c r="S181" s="26" t="s">
        <v>166</v>
      </c>
    </row>
    <row r="182" spans="1:19" x14ac:dyDescent="0.3">
      <c r="A182" s="33" t="s">
        <v>13</v>
      </c>
      <c r="B182" s="34" t="s">
        <v>41</v>
      </c>
      <c r="C182" s="35" t="s">
        <v>46</v>
      </c>
      <c r="D182" s="36">
        <v>6</v>
      </c>
      <c r="E182" s="36" t="s">
        <v>41</v>
      </c>
      <c r="F182" s="36" t="s">
        <v>42</v>
      </c>
      <c r="G182" s="36" t="s">
        <v>14</v>
      </c>
      <c r="H182" s="24">
        <f t="shared" si="8"/>
        <v>4800.01</v>
      </c>
      <c r="I182" s="24">
        <v>9600</v>
      </c>
      <c r="J182" s="27">
        <v>4.33</v>
      </c>
      <c r="K182" s="37">
        <v>152.19</v>
      </c>
      <c r="L182" s="38">
        <v>46050</v>
      </c>
      <c r="M182" s="12">
        <v>9.2499999999999999E-2</v>
      </c>
      <c r="N182" s="11">
        <f>_xlfn.XLOOKUP(E182,ICMS!C:C,ICMS!D:D)</f>
        <v>0.12</v>
      </c>
      <c r="O182" s="36">
        <f t="shared" si="7"/>
        <v>181</v>
      </c>
      <c r="P182" s="10"/>
      <c r="Q182" s="10" t="s">
        <v>140</v>
      </c>
      <c r="R182" s="28" t="s">
        <v>148</v>
      </c>
      <c r="S182" s="26" t="s">
        <v>166</v>
      </c>
    </row>
    <row r="183" spans="1:19" x14ac:dyDescent="0.3">
      <c r="A183" s="33" t="s">
        <v>13</v>
      </c>
      <c r="B183" s="34" t="s">
        <v>41</v>
      </c>
      <c r="C183" s="35" t="s">
        <v>46</v>
      </c>
      <c r="D183" s="36">
        <v>7</v>
      </c>
      <c r="E183" s="36" t="s">
        <v>41</v>
      </c>
      <c r="F183" s="36" t="s">
        <v>42</v>
      </c>
      <c r="G183" s="36" t="s">
        <v>14</v>
      </c>
      <c r="H183" s="24">
        <f t="shared" si="8"/>
        <v>9600.01</v>
      </c>
      <c r="I183" s="24">
        <v>19200</v>
      </c>
      <c r="J183" s="27">
        <v>3.5849000000000002</v>
      </c>
      <c r="K183" s="37">
        <v>152.19</v>
      </c>
      <c r="L183" s="38">
        <v>46050</v>
      </c>
      <c r="M183" s="12">
        <v>9.2499999999999999E-2</v>
      </c>
      <c r="N183" s="11">
        <f>_xlfn.XLOOKUP(E183,ICMS!C:C,ICMS!D:D)</f>
        <v>0.12</v>
      </c>
      <c r="O183" s="36">
        <f t="shared" si="7"/>
        <v>182</v>
      </c>
      <c r="P183" s="10"/>
      <c r="Q183" s="10" t="s">
        <v>140</v>
      </c>
      <c r="R183" s="28" t="s">
        <v>148</v>
      </c>
      <c r="S183" s="26" t="s">
        <v>166</v>
      </c>
    </row>
    <row r="184" spans="1:19" x14ac:dyDescent="0.3">
      <c r="A184" s="33" t="s">
        <v>13</v>
      </c>
      <c r="B184" s="34" t="s">
        <v>41</v>
      </c>
      <c r="C184" s="35" t="s">
        <v>46</v>
      </c>
      <c r="D184" s="36">
        <v>8</v>
      </c>
      <c r="E184" s="36" t="s">
        <v>41</v>
      </c>
      <c r="F184" s="36" t="s">
        <v>42</v>
      </c>
      <c r="G184" s="36" t="s">
        <v>14</v>
      </c>
      <c r="H184" s="24">
        <f t="shared" si="8"/>
        <v>19200.009999999998</v>
      </c>
      <c r="I184" s="24">
        <v>38400</v>
      </c>
      <c r="J184" s="27">
        <v>3.0116999999999998</v>
      </c>
      <c r="K184" s="37">
        <v>152.19</v>
      </c>
      <c r="L184" s="38">
        <v>46050</v>
      </c>
      <c r="M184" s="12">
        <v>9.2499999999999999E-2</v>
      </c>
      <c r="N184" s="11">
        <f>_xlfn.XLOOKUP(E184,ICMS!C:C,ICMS!D:D)</f>
        <v>0.12</v>
      </c>
      <c r="O184" s="36">
        <f t="shared" si="7"/>
        <v>183</v>
      </c>
      <c r="P184" s="10"/>
      <c r="Q184" s="10" t="s">
        <v>140</v>
      </c>
      <c r="R184" s="28" t="s">
        <v>148</v>
      </c>
      <c r="S184" s="26" t="s">
        <v>166</v>
      </c>
    </row>
    <row r="185" spans="1:19" x14ac:dyDescent="0.3">
      <c r="A185" s="33" t="s">
        <v>13</v>
      </c>
      <c r="B185" s="34" t="s">
        <v>41</v>
      </c>
      <c r="C185" s="35" t="s">
        <v>46</v>
      </c>
      <c r="D185" s="36">
        <v>9</v>
      </c>
      <c r="E185" s="36" t="s">
        <v>41</v>
      </c>
      <c r="F185" s="36" t="s">
        <v>42</v>
      </c>
      <c r="G185" s="36" t="s">
        <v>14</v>
      </c>
      <c r="H185" s="24">
        <f t="shared" si="8"/>
        <v>38400.01</v>
      </c>
      <c r="I185" s="24">
        <v>99999999999</v>
      </c>
      <c r="J185" s="27">
        <v>2.8971</v>
      </c>
      <c r="K185" s="37">
        <v>152.19</v>
      </c>
      <c r="L185" s="38">
        <v>46050</v>
      </c>
      <c r="M185" s="12">
        <v>9.2499999999999999E-2</v>
      </c>
      <c r="N185" s="11">
        <f>_xlfn.XLOOKUP(E185,ICMS!C:C,ICMS!D:D)</f>
        <v>0.12</v>
      </c>
      <c r="O185" s="36">
        <f t="shared" si="7"/>
        <v>184</v>
      </c>
      <c r="P185" s="10"/>
      <c r="Q185" s="10" t="s">
        <v>140</v>
      </c>
      <c r="R185" s="28" t="s">
        <v>148</v>
      </c>
      <c r="S185" s="26" t="s">
        <v>166</v>
      </c>
    </row>
    <row r="186" spans="1:19" x14ac:dyDescent="0.3">
      <c r="A186" s="33" t="s">
        <v>18</v>
      </c>
      <c r="B186" s="34" t="s">
        <v>45</v>
      </c>
      <c r="C186" s="35" t="s">
        <v>80</v>
      </c>
      <c r="D186" s="36">
        <v>1</v>
      </c>
      <c r="E186" s="36" t="s">
        <v>45</v>
      </c>
      <c r="F186" s="36" t="s">
        <v>47</v>
      </c>
      <c r="G186" s="36" t="s">
        <v>17</v>
      </c>
      <c r="H186" s="24">
        <v>0</v>
      </c>
      <c r="I186" s="24">
        <v>99999999999</v>
      </c>
      <c r="J186" s="27">
        <v>7.1412000000000004</v>
      </c>
      <c r="K186" s="37">
        <v>0</v>
      </c>
      <c r="L186" s="38">
        <v>46204</v>
      </c>
      <c r="M186" s="12">
        <v>9.2499999999999999E-2</v>
      </c>
      <c r="N186" s="11">
        <f>_xlfn.XLOOKUP(E186,ICMS!C:C,ICMS!D:D)</f>
        <v>0.17</v>
      </c>
      <c r="O186" s="36">
        <f t="shared" si="7"/>
        <v>185</v>
      </c>
      <c r="P186" s="10"/>
      <c r="Q186" s="10" t="s">
        <v>139</v>
      </c>
      <c r="R186" s="28" t="s">
        <v>149</v>
      </c>
      <c r="S186" s="26" t="s">
        <v>167</v>
      </c>
    </row>
    <row r="187" spans="1:19" x14ac:dyDescent="0.3">
      <c r="A187" s="33" t="s">
        <v>8</v>
      </c>
      <c r="B187" s="34" t="s">
        <v>45</v>
      </c>
      <c r="C187" s="35" t="s">
        <v>80</v>
      </c>
      <c r="D187" s="36">
        <v>1</v>
      </c>
      <c r="E187" s="36" t="s">
        <v>45</v>
      </c>
      <c r="F187" s="36" t="s">
        <v>47</v>
      </c>
      <c r="G187" s="36" t="s">
        <v>17</v>
      </c>
      <c r="H187" s="24">
        <v>0</v>
      </c>
      <c r="I187" s="24">
        <v>99999999999</v>
      </c>
      <c r="J187" s="27">
        <v>7.1412000000000004</v>
      </c>
      <c r="K187" s="37">
        <v>0</v>
      </c>
      <c r="L187" s="38">
        <v>46204</v>
      </c>
      <c r="M187" s="12">
        <v>9.2499999999999999E-2</v>
      </c>
      <c r="N187" s="11">
        <f>_xlfn.XLOOKUP(E187,ICMS!C:C,ICMS!D:D)</f>
        <v>0.17</v>
      </c>
      <c r="O187" s="36">
        <f t="shared" si="7"/>
        <v>186</v>
      </c>
      <c r="P187" s="10"/>
      <c r="Q187" s="10" t="s">
        <v>139</v>
      </c>
      <c r="R187" s="28" t="s">
        <v>149</v>
      </c>
      <c r="S187" s="26" t="s">
        <v>167</v>
      </c>
    </row>
    <row r="188" spans="1:19" x14ac:dyDescent="0.3">
      <c r="A188" s="33" t="s">
        <v>13</v>
      </c>
      <c r="B188" s="34" t="s">
        <v>45</v>
      </c>
      <c r="C188" s="35" t="s">
        <v>80</v>
      </c>
      <c r="D188" s="36">
        <v>1</v>
      </c>
      <c r="E188" s="36" t="s">
        <v>45</v>
      </c>
      <c r="F188" s="36" t="s">
        <v>47</v>
      </c>
      <c r="G188" s="36" t="s">
        <v>14</v>
      </c>
      <c r="H188" s="24">
        <v>0</v>
      </c>
      <c r="I188" s="24">
        <v>150</v>
      </c>
      <c r="J188" s="27">
        <v>7.1412000000000004</v>
      </c>
      <c r="K188" s="37">
        <v>0</v>
      </c>
      <c r="L188" s="38">
        <v>46204</v>
      </c>
      <c r="M188" s="12">
        <v>9.2499999999999999E-2</v>
      </c>
      <c r="N188" s="11">
        <f>_xlfn.XLOOKUP(E188,ICMS!C:C,ICMS!D:D)</f>
        <v>0.17</v>
      </c>
      <c r="O188" s="36">
        <f t="shared" si="7"/>
        <v>187</v>
      </c>
      <c r="P188" s="10"/>
      <c r="Q188" s="10" t="s">
        <v>140</v>
      </c>
      <c r="R188" s="28" t="s">
        <v>149</v>
      </c>
      <c r="S188" s="26" t="s">
        <v>167</v>
      </c>
    </row>
    <row r="189" spans="1:19" x14ac:dyDescent="0.3">
      <c r="A189" s="33" t="s">
        <v>13</v>
      </c>
      <c r="B189" s="34" t="s">
        <v>45</v>
      </c>
      <c r="C189" s="35" t="s">
        <v>80</v>
      </c>
      <c r="D189" s="36">
        <v>2</v>
      </c>
      <c r="E189" s="36" t="s">
        <v>45</v>
      </c>
      <c r="F189" s="36" t="s">
        <v>47</v>
      </c>
      <c r="G189" s="36" t="s">
        <v>14</v>
      </c>
      <c r="H189" s="24">
        <f t="shared" ref="H189:H237" si="9">I188+0.01</f>
        <v>150.01</v>
      </c>
      <c r="I189" s="24">
        <v>300</v>
      </c>
      <c r="J189" s="27">
        <v>6.2618999999999998</v>
      </c>
      <c r="K189" s="37">
        <v>0</v>
      </c>
      <c r="L189" s="38">
        <v>46204</v>
      </c>
      <c r="M189" s="12">
        <v>9.2499999999999999E-2</v>
      </c>
      <c r="N189" s="11">
        <f>_xlfn.XLOOKUP(E189,ICMS!C:C,ICMS!D:D)</f>
        <v>0.17</v>
      </c>
      <c r="O189" s="36">
        <f t="shared" si="7"/>
        <v>188</v>
      </c>
      <c r="P189" s="10"/>
      <c r="Q189" s="10" t="s">
        <v>140</v>
      </c>
      <c r="R189" s="28" t="s">
        <v>149</v>
      </c>
      <c r="S189" s="26" t="s">
        <v>167</v>
      </c>
    </row>
    <row r="190" spans="1:19" x14ac:dyDescent="0.3">
      <c r="A190" s="33" t="s">
        <v>13</v>
      </c>
      <c r="B190" s="34" t="s">
        <v>45</v>
      </c>
      <c r="C190" s="35" t="s">
        <v>80</v>
      </c>
      <c r="D190" s="36">
        <v>3</v>
      </c>
      <c r="E190" s="36" t="s">
        <v>45</v>
      </c>
      <c r="F190" s="36" t="s">
        <v>47</v>
      </c>
      <c r="G190" s="36" t="s">
        <v>14</v>
      </c>
      <c r="H190" s="24">
        <f t="shared" si="9"/>
        <v>300.01</v>
      </c>
      <c r="I190" s="24">
        <v>2100</v>
      </c>
      <c r="J190" s="27">
        <v>6.1073000000000004</v>
      </c>
      <c r="K190" s="37">
        <v>0</v>
      </c>
      <c r="L190" s="38">
        <v>46204</v>
      </c>
      <c r="M190" s="12">
        <v>9.2499999999999999E-2</v>
      </c>
      <c r="N190" s="11">
        <f>_xlfn.XLOOKUP(E190,ICMS!C:C,ICMS!D:D)</f>
        <v>0.17</v>
      </c>
      <c r="O190" s="36">
        <f t="shared" si="7"/>
        <v>189</v>
      </c>
      <c r="P190" s="10"/>
      <c r="Q190" s="10" t="s">
        <v>140</v>
      </c>
      <c r="R190" s="28" t="s">
        <v>149</v>
      </c>
      <c r="S190" s="26" t="s">
        <v>167</v>
      </c>
    </row>
    <row r="191" spans="1:19" x14ac:dyDescent="0.3">
      <c r="A191" s="33" t="s">
        <v>13</v>
      </c>
      <c r="B191" s="34" t="s">
        <v>45</v>
      </c>
      <c r="C191" s="35" t="s">
        <v>80</v>
      </c>
      <c r="D191" s="36">
        <v>4</v>
      </c>
      <c r="E191" s="36" t="s">
        <v>45</v>
      </c>
      <c r="F191" s="36" t="s">
        <v>47</v>
      </c>
      <c r="G191" s="36" t="s">
        <v>14</v>
      </c>
      <c r="H191" s="24">
        <f t="shared" si="9"/>
        <v>2100.0100000000002</v>
      </c>
      <c r="I191" s="24">
        <v>99999999999</v>
      </c>
      <c r="J191" s="27">
        <v>4.2961999999999998</v>
      </c>
      <c r="K191" s="37">
        <v>0</v>
      </c>
      <c r="L191" s="38">
        <v>46204</v>
      </c>
      <c r="M191" s="12">
        <v>9.2499999999999999E-2</v>
      </c>
      <c r="N191" s="11">
        <f>_xlfn.XLOOKUP(E191,ICMS!C:C,ICMS!D:D)</f>
        <v>0.17</v>
      </c>
      <c r="O191" s="36">
        <f t="shared" si="7"/>
        <v>190</v>
      </c>
      <c r="P191" s="10"/>
      <c r="Q191" s="10" t="s">
        <v>140</v>
      </c>
      <c r="R191" s="28" t="s">
        <v>149</v>
      </c>
      <c r="S191" s="26" t="s">
        <v>167</v>
      </c>
    </row>
    <row r="192" spans="1:19" x14ac:dyDescent="0.3">
      <c r="A192" s="33" t="s">
        <v>15</v>
      </c>
      <c r="B192" s="34" t="s">
        <v>45</v>
      </c>
      <c r="C192" s="35" t="s">
        <v>80</v>
      </c>
      <c r="D192" s="36">
        <v>1</v>
      </c>
      <c r="E192" s="36" t="s">
        <v>45</v>
      </c>
      <c r="F192" s="36" t="s">
        <v>47</v>
      </c>
      <c r="G192" s="36" t="s">
        <v>184</v>
      </c>
      <c r="H192" s="24">
        <v>0</v>
      </c>
      <c r="I192" s="24">
        <v>150</v>
      </c>
      <c r="J192" s="41">
        <v>6.9966999999999997</v>
      </c>
      <c r="K192" s="37">
        <v>0</v>
      </c>
      <c r="L192" s="38">
        <v>46204</v>
      </c>
      <c r="M192" s="12">
        <v>9.2499999999999999E-2</v>
      </c>
      <c r="N192" s="11">
        <f>_xlfn.XLOOKUP(E192,ICMS!C:C,ICMS!D:D)</f>
        <v>0.17</v>
      </c>
      <c r="O192" s="36">
        <f t="shared" si="7"/>
        <v>191</v>
      </c>
      <c r="P192" s="10"/>
      <c r="Q192" s="10" t="s">
        <v>140</v>
      </c>
      <c r="R192" s="28" t="s">
        <v>149</v>
      </c>
      <c r="S192" s="26" t="s">
        <v>167</v>
      </c>
    </row>
    <row r="193" spans="1:19" x14ac:dyDescent="0.3">
      <c r="A193" s="33" t="s">
        <v>15</v>
      </c>
      <c r="B193" s="34" t="s">
        <v>45</v>
      </c>
      <c r="C193" s="35" t="s">
        <v>80</v>
      </c>
      <c r="D193" s="36">
        <v>2</v>
      </c>
      <c r="E193" s="36" t="s">
        <v>45</v>
      </c>
      <c r="F193" s="36" t="s">
        <v>47</v>
      </c>
      <c r="G193" s="36" t="s">
        <v>184</v>
      </c>
      <c r="H193" s="24">
        <f t="shared" si="9"/>
        <v>150.01</v>
      </c>
      <c r="I193" s="24">
        <v>300</v>
      </c>
      <c r="J193" s="41">
        <v>5.4469000000000003</v>
      </c>
      <c r="K193" s="37">
        <v>0</v>
      </c>
      <c r="L193" s="38">
        <v>46204</v>
      </c>
      <c r="M193" s="12">
        <v>9.2499999999999999E-2</v>
      </c>
      <c r="N193" s="11">
        <f>_xlfn.XLOOKUP(E193,ICMS!C:C,ICMS!D:D)</f>
        <v>0.17</v>
      </c>
      <c r="O193" s="36">
        <f t="shared" si="7"/>
        <v>192</v>
      </c>
      <c r="P193" s="10"/>
      <c r="Q193" s="10" t="s">
        <v>140</v>
      </c>
      <c r="R193" s="28" t="s">
        <v>149</v>
      </c>
      <c r="S193" s="26" t="s">
        <v>167</v>
      </c>
    </row>
    <row r="194" spans="1:19" x14ac:dyDescent="0.3">
      <c r="A194" s="33" t="s">
        <v>15</v>
      </c>
      <c r="B194" s="34" t="s">
        <v>45</v>
      </c>
      <c r="C194" s="35" t="s">
        <v>80</v>
      </c>
      <c r="D194" s="36">
        <v>3</v>
      </c>
      <c r="E194" s="36" t="s">
        <v>45</v>
      </c>
      <c r="F194" s="36" t="s">
        <v>47</v>
      </c>
      <c r="G194" s="36" t="s">
        <v>184</v>
      </c>
      <c r="H194" s="24">
        <f t="shared" si="9"/>
        <v>300.01</v>
      </c>
      <c r="I194" s="24">
        <v>2100</v>
      </c>
      <c r="J194" s="41">
        <v>5.3166000000000002</v>
      </c>
      <c r="K194" s="37">
        <v>0</v>
      </c>
      <c r="L194" s="38">
        <v>46204</v>
      </c>
      <c r="M194" s="12">
        <v>9.2499999999999999E-2</v>
      </c>
      <c r="N194" s="11">
        <f>_xlfn.XLOOKUP(E194,ICMS!C:C,ICMS!D:D)</f>
        <v>0.17</v>
      </c>
      <c r="O194" s="36">
        <f t="shared" si="7"/>
        <v>193</v>
      </c>
      <c r="P194" s="10"/>
      <c r="Q194" s="10" t="s">
        <v>140</v>
      </c>
      <c r="R194" s="28" t="s">
        <v>149</v>
      </c>
      <c r="S194" s="26" t="s">
        <v>167</v>
      </c>
    </row>
    <row r="195" spans="1:19" x14ac:dyDescent="0.3">
      <c r="A195" s="33" t="s">
        <v>15</v>
      </c>
      <c r="B195" s="34" t="s">
        <v>45</v>
      </c>
      <c r="C195" s="35" t="s">
        <v>80</v>
      </c>
      <c r="D195" s="36">
        <v>4</v>
      </c>
      <c r="E195" s="36" t="s">
        <v>45</v>
      </c>
      <c r="F195" s="36" t="s">
        <v>47</v>
      </c>
      <c r="G195" s="36" t="s">
        <v>184</v>
      </c>
      <c r="H195" s="24">
        <f t="shared" si="9"/>
        <v>2100.0100000000002</v>
      </c>
      <c r="I195" s="24">
        <v>30000</v>
      </c>
      <c r="J195" s="41">
        <v>3.8898999999999999</v>
      </c>
      <c r="K195" s="37">
        <v>0</v>
      </c>
      <c r="L195" s="38">
        <v>46204</v>
      </c>
      <c r="M195" s="12">
        <v>9.2499999999999999E-2</v>
      </c>
      <c r="N195" s="11">
        <f>_xlfn.XLOOKUP(E195,ICMS!C:C,ICMS!D:D)</f>
        <v>0.17</v>
      </c>
      <c r="O195" s="36">
        <f t="shared" si="7"/>
        <v>194</v>
      </c>
      <c r="P195" s="10"/>
      <c r="Q195" s="10" t="s">
        <v>140</v>
      </c>
      <c r="R195" s="28" t="s">
        <v>149</v>
      </c>
      <c r="S195" s="26" t="s">
        <v>167</v>
      </c>
    </row>
    <row r="196" spans="1:19" x14ac:dyDescent="0.3">
      <c r="A196" s="33" t="s">
        <v>15</v>
      </c>
      <c r="B196" s="34" t="s">
        <v>45</v>
      </c>
      <c r="C196" s="35" t="s">
        <v>80</v>
      </c>
      <c r="D196" s="36">
        <v>5</v>
      </c>
      <c r="E196" s="36" t="s">
        <v>45</v>
      </c>
      <c r="F196" s="36" t="s">
        <v>47</v>
      </c>
      <c r="G196" s="36" t="s">
        <v>184</v>
      </c>
      <c r="H196" s="24">
        <f t="shared" si="9"/>
        <v>30000.01</v>
      </c>
      <c r="I196" s="24">
        <v>150000</v>
      </c>
      <c r="J196" s="41">
        <v>3.7816999999999998</v>
      </c>
      <c r="K196" s="37">
        <v>0</v>
      </c>
      <c r="L196" s="38">
        <v>46204</v>
      </c>
      <c r="M196" s="12">
        <v>9.2499999999999999E-2</v>
      </c>
      <c r="N196" s="11">
        <f>_xlfn.XLOOKUP(E196,ICMS!C:C,ICMS!D:D)</f>
        <v>0.17</v>
      </c>
      <c r="O196" s="36">
        <f t="shared" ref="O196:O259" si="10">1+O195</f>
        <v>195</v>
      </c>
      <c r="P196" s="10"/>
      <c r="Q196" s="10" t="s">
        <v>140</v>
      </c>
      <c r="R196" s="28" t="s">
        <v>149</v>
      </c>
      <c r="S196" s="26" t="s">
        <v>167</v>
      </c>
    </row>
    <row r="197" spans="1:19" x14ac:dyDescent="0.3">
      <c r="A197" s="33" t="s">
        <v>15</v>
      </c>
      <c r="B197" s="34" t="s">
        <v>45</v>
      </c>
      <c r="C197" s="35" t="s">
        <v>80</v>
      </c>
      <c r="D197" s="36">
        <v>6</v>
      </c>
      <c r="E197" s="36" t="s">
        <v>45</v>
      </c>
      <c r="F197" s="36" t="s">
        <v>47</v>
      </c>
      <c r="G197" s="36" t="s">
        <v>184</v>
      </c>
      <c r="H197" s="24">
        <f t="shared" si="9"/>
        <v>150000.01</v>
      </c>
      <c r="I197" s="24">
        <v>300000</v>
      </c>
      <c r="J197" s="41">
        <v>3.7473999999999998</v>
      </c>
      <c r="K197" s="37">
        <v>0</v>
      </c>
      <c r="L197" s="38">
        <v>46204</v>
      </c>
      <c r="M197" s="12">
        <v>9.2499999999999999E-2</v>
      </c>
      <c r="N197" s="11">
        <f>_xlfn.XLOOKUP(E197,ICMS!C:C,ICMS!D:D)</f>
        <v>0.17</v>
      </c>
      <c r="O197" s="36">
        <f t="shared" si="10"/>
        <v>196</v>
      </c>
      <c r="P197" s="10"/>
      <c r="Q197" s="10" t="s">
        <v>140</v>
      </c>
      <c r="R197" s="28" t="s">
        <v>149</v>
      </c>
      <c r="S197" s="26" t="s">
        <v>167</v>
      </c>
    </row>
    <row r="198" spans="1:19" x14ac:dyDescent="0.3">
      <c r="A198" s="33" t="s">
        <v>15</v>
      </c>
      <c r="B198" s="34" t="s">
        <v>45</v>
      </c>
      <c r="C198" s="35" t="s">
        <v>80</v>
      </c>
      <c r="D198" s="36">
        <v>7</v>
      </c>
      <c r="E198" s="36" t="s">
        <v>45</v>
      </c>
      <c r="F198" s="36" t="s">
        <v>47</v>
      </c>
      <c r="G198" s="36" t="s">
        <v>184</v>
      </c>
      <c r="H198" s="24">
        <f t="shared" si="9"/>
        <v>300000.01</v>
      </c>
      <c r="I198" s="24">
        <v>750000</v>
      </c>
      <c r="J198" s="41">
        <v>3.6337000000000002</v>
      </c>
      <c r="K198" s="37">
        <v>0</v>
      </c>
      <c r="L198" s="38">
        <v>46204</v>
      </c>
      <c r="M198" s="12">
        <v>9.2499999999999999E-2</v>
      </c>
      <c r="N198" s="11">
        <f>_xlfn.XLOOKUP(E198,ICMS!C:C,ICMS!D:D)</f>
        <v>0.17</v>
      </c>
      <c r="O198" s="36">
        <f t="shared" si="10"/>
        <v>197</v>
      </c>
      <c r="P198" s="10"/>
      <c r="Q198" s="10" t="s">
        <v>140</v>
      </c>
      <c r="R198" s="28" t="s">
        <v>149</v>
      </c>
      <c r="S198" s="26" t="s">
        <v>167</v>
      </c>
    </row>
    <row r="199" spans="1:19" x14ac:dyDescent="0.3">
      <c r="A199" s="33" t="s">
        <v>15</v>
      </c>
      <c r="B199" s="34" t="s">
        <v>45</v>
      </c>
      <c r="C199" s="35" t="s">
        <v>80</v>
      </c>
      <c r="D199" s="36">
        <v>8</v>
      </c>
      <c r="E199" s="36" t="s">
        <v>45</v>
      </c>
      <c r="F199" s="36" t="s">
        <v>47</v>
      </c>
      <c r="G199" s="36" t="s">
        <v>184</v>
      </c>
      <c r="H199" s="24">
        <f t="shared" si="9"/>
        <v>750000.01</v>
      </c>
      <c r="I199" s="24">
        <v>1500000</v>
      </c>
      <c r="J199" s="41">
        <v>3.5562999999999998</v>
      </c>
      <c r="K199" s="37">
        <v>0</v>
      </c>
      <c r="L199" s="38">
        <v>46204</v>
      </c>
      <c r="M199" s="12">
        <v>9.2499999999999999E-2</v>
      </c>
      <c r="N199" s="11">
        <f>_xlfn.XLOOKUP(E199,ICMS!C:C,ICMS!D:D)</f>
        <v>0.17</v>
      </c>
      <c r="O199" s="36">
        <f t="shared" si="10"/>
        <v>198</v>
      </c>
      <c r="P199" s="10"/>
      <c r="Q199" s="10" t="s">
        <v>140</v>
      </c>
      <c r="R199" s="28" t="s">
        <v>149</v>
      </c>
      <c r="S199" s="26" t="s">
        <v>167</v>
      </c>
    </row>
    <row r="200" spans="1:19" x14ac:dyDescent="0.3">
      <c r="A200" s="33" t="s">
        <v>15</v>
      </c>
      <c r="B200" s="34" t="s">
        <v>45</v>
      </c>
      <c r="C200" s="35" t="s">
        <v>80</v>
      </c>
      <c r="D200" s="36">
        <v>9</v>
      </c>
      <c r="E200" s="36" t="s">
        <v>45</v>
      </c>
      <c r="F200" s="36" t="s">
        <v>47</v>
      </c>
      <c r="G200" s="36" t="s">
        <v>184</v>
      </c>
      <c r="H200" s="24">
        <f t="shared" si="9"/>
        <v>1500000.01</v>
      </c>
      <c r="I200" s="24">
        <v>3000000</v>
      </c>
      <c r="J200" s="41">
        <v>3.4601000000000002</v>
      </c>
      <c r="K200" s="37">
        <v>0</v>
      </c>
      <c r="L200" s="38">
        <v>46204</v>
      </c>
      <c r="M200" s="12">
        <v>9.2499999999999999E-2</v>
      </c>
      <c r="N200" s="11">
        <f>_xlfn.XLOOKUP(E200,ICMS!C:C,ICMS!D:D)</f>
        <v>0.17</v>
      </c>
      <c r="O200" s="36">
        <f t="shared" si="10"/>
        <v>199</v>
      </c>
      <c r="P200" s="10"/>
      <c r="Q200" s="10" t="s">
        <v>140</v>
      </c>
      <c r="R200" s="28" t="s">
        <v>149</v>
      </c>
      <c r="S200" s="26" t="s">
        <v>167</v>
      </c>
    </row>
    <row r="201" spans="1:19" x14ac:dyDescent="0.3">
      <c r="A201" s="33" t="s">
        <v>15</v>
      </c>
      <c r="B201" s="34" t="s">
        <v>45</v>
      </c>
      <c r="C201" s="35" t="s">
        <v>80</v>
      </c>
      <c r="D201" s="36">
        <v>10</v>
      </c>
      <c r="E201" s="36" t="s">
        <v>45</v>
      </c>
      <c r="F201" s="36" t="s">
        <v>47</v>
      </c>
      <c r="G201" s="36" t="s">
        <v>184</v>
      </c>
      <c r="H201" s="24">
        <f t="shared" si="9"/>
        <v>3000000.01</v>
      </c>
      <c r="I201" s="24">
        <v>4500000</v>
      </c>
      <c r="J201" s="41">
        <v>3.2324999999999999</v>
      </c>
      <c r="K201" s="37">
        <v>0</v>
      </c>
      <c r="L201" s="38">
        <v>46204</v>
      </c>
      <c r="M201" s="12">
        <v>9.2499999999999999E-2</v>
      </c>
      <c r="N201" s="11">
        <f>_xlfn.XLOOKUP(E201,ICMS!C:C,ICMS!D:D)</f>
        <v>0.17</v>
      </c>
      <c r="O201" s="36">
        <f t="shared" si="10"/>
        <v>200</v>
      </c>
      <c r="P201" s="10"/>
      <c r="Q201" s="10" t="s">
        <v>140</v>
      </c>
      <c r="R201" s="28" t="s">
        <v>149</v>
      </c>
      <c r="S201" s="26" t="s">
        <v>167</v>
      </c>
    </row>
    <row r="202" spans="1:19" x14ac:dyDescent="0.3">
      <c r="A202" s="33" t="s">
        <v>15</v>
      </c>
      <c r="B202" s="34" t="s">
        <v>45</v>
      </c>
      <c r="C202" s="35" t="s">
        <v>80</v>
      </c>
      <c r="D202" s="36">
        <v>11</v>
      </c>
      <c r="E202" s="36" t="s">
        <v>45</v>
      </c>
      <c r="F202" s="36" t="s">
        <v>47</v>
      </c>
      <c r="G202" s="36" t="s">
        <v>184</v>
      </c>
      <c r="H202" s="24">
        <f t="shared" si="9"/>
        <v>4500000.01</v>
      </c>
      <c r="I202" s="24">
        <v>6000000</v>
      </c>
      <c r="J202" s="41">
        <v>3.2044000000000001</v>
      </c>
      <c r="K202" s="37">
        <v>0</v>
      </c>
      <c r="L202" s="38">
        <v>46204</v>
      </c>
      <c r="M202" s="12">
        <v>9.2499999999999999E-2</v>
      </c>
      <c r="N202" s="11">
        <f>_xlfn.XLOOKUP(E202,ICMS!C:C,ICMS!D:D)</f>
        <v>0.17</v>
      </c>
      <c r="O202" s="36">
        <f t="shared" si="10"/>
        <v>201</v>
      </c>
      <c r="P202" s="10"/>
      <c r="Q202" s="10" t="s">
        <v>140</v>
      </c>
      <c r="R202" s="28" t="s">
        <v>149</v>
      </c>
      <c r="S202" s="26" t="s">
        <v>167</v>
      </c>
    </row>
    <row r="203" spans="1:19" x14ac:dyDescent="0.3">
      <c r="A203" s="33" t="s">
        <v>15</v>
      </c>
      <c r="B203" s="34" t="s">
        <v>45</v>
      </c>
      <c r="C203" s="35" t="s">
        <v>80</v>
      </c>
      <c r="D203" s="36">
        <v>12</v>
      </c>
      <c r="E203" s="36" t="s">
        <v>45</v>
      </c>
      <c r="F203" s="36" t="s">
        <v>47</v>
      </c>
      <c r="G203" s="36" t="s">
        <v>184</v>
      </c>
      <c r="H203" s="24">
        <f t="shared" si="9"/>
        <v>6000000.0099999998</v>
      </c>
      <c r="I203" s="24">
        <v>99999999999</v>
      </c>
      <c r="J203" s="41">
        <v>3.1814</v>
      </c>
      <c r="K203" s="37">
        <v>0</v>
      </c>
      <c r="L203" s="38">
        <v>46204</v>
      </c>
      <c r="M203" s="12">
        <v>9.2499999999999999E-2</v>
      </c>
      <c r="N203" s="11">
        <f>_xlfn.XLOOKUP(E203,ICMS!C:C,ICMS!D:D)</f>
        <v>0.17</v>
      </c>
      <c r="O203" s="36">
        <f t="shared" si="10"/>
        <v>202</v>
      </c>
      <c r="P203" s="10"/>
      <c r="Q203" s="10" t="s">
        <v>140</v>
      </c>
      <c r="R203" s="28" t="s">
        <v>149</v>
      </c>
      <c r="S203" s="26" t="s">
        <v>167</v>
      </c>
    </row>
    <row r="204" spans="1:19" x14ac:dyDescent="0.3">
      <c r="A204" s="33" t="s">
        <v>18</v>
      </c>
      <c r="B204" s="34" t="s">
        <v>48</v>
      </c>
      <c r="C204" s="35" t="s">
        <v>80</v>
      </c>
      <c r="D204" s="36">
        <v>1</v>
      </c>
      <c r="E204" s="36" t="s">
        <v>48</v>
      </c>
      <c r="F204" s="36" t="s">
        <v>49</v>
      </c>
      <c r="G204" s="36" t="s">
        <v>180</v>
      </c>
      <c r="H204" s="24">
        <v>0</v>
      </c>
      <c r="I204" s="24">
        <v>1</v>
      </c>
      <c r="J204" s="27">
        <v>0</v>
      </c>
      <c r="K204" s="37">
        <v>12.3</v>
      </c>
      <c r="L204" s="38">
        <v>46062</v>
      </c>
      <c r="M204" s="12">
        <v>9.2499999999999999E-2</v>
      </c>
      <c r="N204" s="11">
        <f>_xlfn.XLOOKUP(E204,ICMS!C:C,ICMS!D:D)</f>
        <v>0.12</v>
      </c>
      <c r="O204" s="36">
        <f t="shared" si="10"/>
        <v>203</v>
      </c>
      <c r="P204" s="10"/>
      <c r="Q204" s="10" t="s">
        <v>139</v>
      </c>
      <c r="R204" s="28" t="s">
        <v>168</v>
      </c>
      <c r="S204" s="26" t="s">
        <v>172</v>
      </c>
    </row>
    <row r="205" spans="1:19" x14ac:dyDescent="0.3">
      <c r="A205" s="33" t="s">
        <v>18</v>
      </c>
      <c r="B205" s="34" t="s">
        <v>48</v>
      </c>
      <c r="C205" s="35" t="s">
        <v>80</v>
      </c>
      <c r="D205" s="36">
        <v>2</v>
      </c>
      <c r="E205" s="36" t="s">
        <v>48</v>
      </c>
      <c r="F205" s="36" t="s">
        <v>49</v>
      </c>
      <c r="G205" s="36" t="s">
        <v>180</v>
      </c>
      <c r="H205" s="24">
        <f t="shared" si="9"/>
        <v>1.01</v>
      </c>
      <c r="I205" s="24">
        <v>15</v>
      </c>
      <c r="J205" s="27">
        <v>8.4937000000000005</v>
      </c>
      <c r="K205" s="37">
        <v>4.9000000000000004</v>
      </c>
      <c r="L205" s="38">
        <v>46062</v>
      </c>
      <c r="M205" s="12">
        <v>9.2499999999999999E-2</v>
      </c>
      <c r="N205" s="11">
        <f>_xlfn.XLOOKUP(E205,ICMS!C:C,ICMS!D:D)</f>
        <v>0.12</v>
      </c>
      <c r="O205" s="36">
        <f t="shared" si="10"/>
        <v>204</v>
      </c>
      <c r="P205" s="10"/>
      <c r="Q205" s="10" t="s">
        <v>139</v>
      </c>
      <c r="R205" s="28" t="s">
        <v>168</v>
      </c>
      <c r="S205" s="26" t="s">
        <v>172</v>
      </c>
    </row>
    <row r="206" spans="1:19" x14ac:dyDescent="0.3">
      <c r="A206" s="33" t="s">
        <v>18</v>
      </c>
      <c r="B206" s="34" t="s">
        <v>48</v>
      </c>
      <c r="C206" s="35" t="s">
        <v>80</v>
      </c>
      <c r="D206" s="36">
        <v>3</v>
      </c>
      <c r="E206" s="36" t="s">
        <v>48</v>
      </c>
      <c r="F206" s="36" t="s">
        <v>49</v>
      </c>
      <c r="G206" s="36" t="s">
        <v>180</v>
      </c>
      <c r="H206" s="24">
        <f t="shared" si="9"/>
        <v>15.01</v>
      </c>
      <c r="I206" s="24">
        <v>99999999999</v>
      </c>
      <c r="J206" s="27">
        <v>8.8202999999999996</v>
      </c>
      <c r="K206" s="37">
        <v>0</v>
      </c>
      <c r="L206" s="38">
        <v>46062</v>
      </c>
      <c r="M206" s="12">
        <v>9.2499999999999999E-2</v>
      </c>
      <c r="N206" s="11">
        <f>_xlfn.XLOOKUP(E206,ICMS!C:C,ICMS!D:D)</f>
        <v>0.12</v>
      </c>
      <c r="O206" s="36">
        <f t="shared" si="10"/>
        <v>205</v>
      </c>
      <c r="P206" s="10"/>
      <c r="Q206" s="10" t="s">
        <v>139</v>
      </c>
      <c r="R206" s="28" t="s">
        <v>168</v>
      </c>
      <c r="S206" s="26" t="s">
        <v>172</v>
      </c>
    </row>
    <row r="207" spans="1:19" x14ac:dyDescent="0.3">
      <c r="A207" s="33" t="s">
        <v>8</v>
      </c>
      <c r="B207" s="34" t="s">
        <v>48</v>
      </c>
      <c r="C207" s="35" t="s">
        <v>80</v>
      </c>
      <c r="D207" s="36">
        <v>1</v>
      </c>
      <c r="E207" s="36" t="s">
        <v>48</v>
      </c>
      <c r="F207" s="36" t="s">
        <v>49</v>
      </c>
      <c r="G207" s="36" t="s">
        <v>50</v>
      </c>
      <c r="H207" s="24">
        <v>0</v>
      </c>
      <c r="I207" s="24">
        <v>300</v>
      </c>
      <c r="J207" s="27">
        <v>8.4937000000000005</v>
      </c>
      <c r="K207" s="37">
        <v>0</v>
      </c>
      <c r="L207" s="38">
        <v>46062</v>
      </c>
      <c r="M207" s="12">
        <v>9.2499999999999999E-2</v>
      </c>
      <c r="N207" s="11">
        <f>_xlfn.XLOOKUP(E207,ICMS!C:C,ICMS!D:D)</f>
        <v>0.12</v>
      </c>
      <c r="O207" s="36">
        <f t="shared" si="10"/>
        <v>206</v>
      </c>
      <c r="P207" s="10"/>
      <c r="Q207" s="10" t="s">
        <v>139</v>
      </c>
      <c r="R207" s="28" t="s">
        <v>168</v>
      </c>
      <c r="S207" s="26" t="s">
        <v>172</v>
      </c>
    </row>
    <row r="208" spans="1:19" x14ac:dyDescent="0.3">
      <c r="A208" s="33" t="s">
        <v>8</v>
      </c>
      <c r="B208" s="34" t="s">
        <v>48</v>
      </c>
      <c r="C208" s="35" t="s">
        <v>80</v>
      </c>
      <c r="D208" s="36">
        <v>2</v>
      </c>
      <c r="E208" s="36" t="s">
        <v>48</v>
      </c>
      <c r="F208" s="36" t="s">
        <v>49</v>
      </c>
      <c r="G208" s="36" t="s">
        <v>50</v>
      </c>
      <c r="H208" s="24">
        <f t="shared" si="9"/>
        <v>300.01</v>
      </c>
      <c r="I208" s="24">
        <v>1500</v>
      </c>
      <c r="J208" s="27">
        <v>7.1616999999999997</v>
      </c>
      <c r="K208" s="37">
        <v>399.58</v>
      </c>
      <c r="L208" s="38">
        <v>46062</v>
      </c>
      <c r="M208" s="12">
        <v>9.2499999999999999E-2</v>
      </c>
      <c r="N208" s="11">
        <f>_xlfn.XLOOKUP(E208,ICMS!C:C,ICMS!D:D)</f>
        <v>0.12</v>
      </c>
      <c r="O208" s="36">
        <f t="shared" si="10"/>
        <v>207</v>
      </c>
      <c r="P208" s="10"/>
      <c r="Q208" s="10" t="s">
        <v>139</v>
      </c>
      <c r="R208" s="28" t="s">
        <v>168</v>
      </c>
      <c r="S208" s="26" t="s">
        <v>172</v>
      </c>
    </row>
    <row r="209" spans="1:19" x14ac:dyDescent="0.3">
      <c r="A209" s="33" t="s">
        <v>8</v>
      </c>
      <c r="B209" s="34" t="s">
        <v>48</v>
      </c>
      <c r="C209" s="35" t="s">
        <v>80</v>
      </c>
      <c r="D209" s="36">
        <v>3</v>
      </c>
      <c r="E209" s="36" t="s">
        <v>48</v>
      </c>
      <c r="F209" s="36" t="s">
        <v>49</v>
      </c>
      <c r="G209" s="36" t="s">
        <v>50</v>
      </c>
      <c r="H209" s="24">
        <f t="shared" si="9"/>
        <v>1500.01</v>
      </c>
      <c r="I209" s="24">
        <v>99999999999</v>
      </c>
      <c r="J209" s="27">
        <v>6.2770999999999999</v>
      </c>
      <c r="K209" s="37">
        <v>1726.55</v>
      </c>
      <c r="L209" s="38">
        <v>46062</v>
      </c>
      <c r="M209" s="12">
        <v>9.2499999999999999E-2</v>
      </c>
      <c r="N209" s="11">
        <f>_xlfn.XLOOKUP(E209,ICMS!C:C,ICMS!D:D)</f>
        <v>0.12</v>
      </c>
      <c r="O209" s="36">
        <f t="shared" si="10"/>
        <v>208</v>
      </c>
      <c r="P209" s="10"/>
      <c r="Q209" s="10" t="s">
        <v>139</v>
      </c>
      <c r="R209" s="28" t="s">
        <v>168</v>
      </c>
      <c r="S209" s="26" t="s">
        <v>172</v>
      </c>
    </row>
    <row r="210" spans="1:19" x14ac:dyDescent="0.3">
      <c r="A210" s="33" t="s">
        <v>15</v>
      </c>
      <c r="B210" s="34" t="s">
        <v>48</v>
      </c>
      <c r="C210" s="35" t="s">
        <v>46</v>
      </c>
      <c r="D210" s="36">
        <v>1</v>
      </c>
      <c r="E210" s="36" t="s">
        <v>48</v>
      </c>
      <c r="F210" s="36" t="s">
        <v>49</v>
      </c>
      <c r="G210" s="36" t="s">
        <v>51</v>
      </c>
      <c r="H210" s="24">
        <v>0</v>
      </c>
      <c r="I210" s="24">
        <v>15000</v>
      </c>
      <c r="J210" s="27">
        <v>4.0644</v>
      </c>
      <c r="K210" s="37">
        <v>0</v>
      </c>
      <c r="L210" s="38">
        <v>46062</v>
      </c>
      <c r="M210" s="12">
        <v>9.2499999999999999E-2</v>
      </c>
      <c r="N210" s="11">
        <f>_xlfn.XLOOKUP(E210,ICMS!C:C,ICMS!D:D)</f>
        <v>0.12</v>
      </c>
      <c r="O210" s="36">
        <f t="shared" si="10"/>
        <v>209</v>
      </c>
      <c r="P210" s="10"/>
      <c r="Q210" s="10" t="s">
        <v>140</v>
      </c>
      <c r="R210" s="26" t="s">
        <v>169</v>
      </c>
      <c r="S210" s="26" t="s">
        <v>172</v>
      </c>
    </row>
    <row r="211" spans="1:19" x14ac:dyDescent="0.3">
      <c r="A211" s="33" t="s">
        <v>15</v>
      </c>
      <c r="B211" s="34" t="s">
        <v>48</v>
      </c>
      <c r="C211" s="35" t="s">
        <v>46</v>
      </c>
      <c r="D211" s="36">
        <v>2</v>
      </c>
      <c r="E211" s="36" t="s">
        <v>48</v>
      </c>
      <c r="F211" s="36" t="s">
        <v>49</v>
      </c>
      <c r="G211" s="36" t="s">
        <v>51</v>
      </c>
      <c r="H211" s="24">
        <f t="shared" si="9"/>
        <v>15000.01</v>
      </c>
      <c r="I211" s="24">
        <v>30000</v>
      </c>
      <c r="J211" s="27">
        <v>3.3258000000000001</v>
      </c>
      <c r="K211" s="37">
        <v>0</v>
      </c>
      <c r="L211" s="38">
        <v>46062</v>
      </c>
      <c r="M211" s="12">
        <v>9.2499999999999999E-2</v>
      </c>
      <c r="N211" s="11">
        <f>_xlfn.XLOOKUP(E211,ICMS!C:C,ICMS!D:D)</f>
        <v>0.12</v>
      </c>
      <c r="O211" s="36">
        <f t="shared" si="10"/>
        <v>210</v>
      </c>
      <c r="P211" s="10"/>
      <c r="Q211" s="10" t="s">
        <v>140</v>
      </c>
      <c r="R211" s="26" t="s">
        <v>169</v>
      </c>
      <c r="S211" s="26" t="s">
        <v>172</v>
      </c>
    </row>
    <row r="212" spans="1:19" x14ac:dyDescent="0.3">
      <c r="A212" s="33" t="s">
        <v>15</v>
      </c>
      <c r="B212" s="34" t="s">
        <v>48</v>
      </c>
      <c r="C212" s="35" t="s">
        <v>46</v>
      </c>
      <c r="D212" s="36">
        <v>3</v>
      </c>
      <c r="E212" s="36" t="s">
        <v>48</v>
      </c>
      <c r="F212" s="36" t="s">
        <v>49</v>
      </c>
      <c r="G212" s="36" t="s">
        <v>51</v>
      </c>
      <c r="H212" s="24">
        <f t="shared" si="9"/>
        <v>30000.01</v>
      </c>
      <c r="I212" s="24">
        <v>150000</v>
      </c>
      <c r="J212" s="27">
        <v>3.2442000000000002</v>
      </c>
      <c r="K212" s="37">
        <v>0</v>
      </c>
      <c r="L212" s="38">
        <v>46062</v>
      </c>
      <c r="M212" s="12">
        <v>9.2499999999999999E-2</v>
      </c>
      <c r="N212" s="11">
        <f>_xlfn.XLOOKUP(E212,ICMS!C:C,ICMS!D:D)</f>
        <v>0.12</v>
      </c>
      <c r="O212" s="36">
        <f t="shared" si="10"/>
        <v>211</v>
      </c>
      <c r="P212" s="10"/>
      <c r="Q212" s="10" t="s">
        <v>140</v>
      </c>
      <c r="R212" s="26" t="s">
        <v>169</v>
      </c>
      <c r="S212" s="26" t="s">
        <v>172</v>
      </c>
    </row>
    <row r="213" spans="1:19" x14ac:dyDescent="0.3">
      <c r="A213" s="33" t="s">
        <v>15</v>
      </c>
      <c r="B213" s="34" t="s">
        <v>48</v>
      </c>
      <c r="C213" s="35" t="s">
        <v>46</v>
      </c>
      <c r="D213" s="36">
        <v>4</v>
      </c>
      <c r="E213" s="36" t="s">
        <v>48</v>
      </c>
      <c r="F213" s="36" t="s">
        <v>49</v>
      </c>
      <c r="G213" s="36" t="s">
        <v>51</v>
      </c>
      <c r="H213" s="24">
        <f t="shared" si="9"/>
        <v>150000.01</v>
      </c>
      <c r="I213" s="24">
        <v>300000</v>
      </c>
      <c r="J213" s="27">
        <v>3.1246</v>
      </c>
      <c r="K213" s="37">
        <v>0</v>
      </c>
      <c r="L213" s="38">
        <v>46062</v>
      </c>
      <c r="M213" s="12">
        <v>9.2499999999999999E-2</v>
      </c>
      <c r="N213" s="11">
        <f>_xlfn.XLOOKUP(E213,ICMS!C:C,ICMS!D:D)</f>
        <v>0.12</v>
      </c>
      <c r="O213" s="36">
        <f t="shared" si="10"/>
        <v>212</v>
      </c>
      <c r="P213" s="10"/>
      <c r="Q213" s="10" t="s">
        <v>140</v>
      </c>
      <c r="R213" s="26" t="s">
        <v>169</v>
      </c>
      <c r="S213" s="26" t="s">
        <v>172</v>
      </c>
    </row>
    <row r="214" spans="1:19" x14ac:dyDescent="0.3">
      <c r="A214" s="33" t="s">
        <v>15</v>
      </c>
      <c r="B214" s="34" t="s">
        <v>48</v>
      </c>
      <c r="C214" s="35" t="s">
        <v>46</v>
      </c>
      <c r="D214" s="36">
        <v>5</v>
      </c>
      <c r="E214" s="36" t="s">
        <v>48</v>
      </c>
      <c r="F214" s="36" t="s">
        <v>49</v>
      </c>
      <c r="G214" s="36" t="s">
        <v>51</v>
      </c>
      <c r="H214" s="24">
        <f t="shared" si="9"/>
        <v>300000.01</v>
      </c>
      <c r="I214" s="24">
        <v>450000</v>
      </c>
      <c r="J214" s="27">
        <v>3.0695999999999999</v>
      </c>
      <c r="K214" s="37">
        <v>0</v>
      </c>
      <c r="L214" s="38">
        <v>46062</v>
      </c>
      <c r="M214" s="12">
        <v>9.2499999999999999E-2</v>
      </c>
      <c r="N214" s="11">
        <f>_xlfn.XLOOKUP(E214,ICMS!C:C,ICMS!D:D)</f>
        <v>0.12</v>
      </c>
      <c r="O214" s="36">
        <f t="shared" si="10"/>
        <v>213</v>
      </c>
      <c r="P214" s="10"/>
      <c r="Q214" s="10" t="s">
        <v>140</v>
      </c>
      <c r="R214" s="26" t="s">
        <v>169</v>
      </c>
      <c r="S214" s="26" t="s">
        <v>172</v>
      </c>
    </row>
    <row r="215" spans="1:19" x14ac:dyDescent="0.3">
      <c r="A215" s="33" t="s">
        <v>15</v>
      </c>
      <c r="B215" s="34" t="s">
        <v>48</v>
      </c>
      <c r="C215" s="35" t="s">
        <v>46</v>
      </c>
      <c r="D215" s="36">
        <v>6</v>
      </c>
      <c r="E215" s="36" t="s">
        <v>48</v>
      </c>
      <c r="F215" s="36" t="s">
        <v>49</v>
      </c>
      <c r="G215" s="36" t="s">
        <v>51</v>
      </c>
      <c r="H215" s="24">
        <f t="shared" si="9"/>
        <v>450000.01</v>
      </c>
      <c r="I215" s="24">
        <v>750000</v>
      </c>
      <c r="J215" s="27">
        <v>3.0213999999999999</v>
      </c>
      <c r="K215" s="37">
        <v>0</v>
      </c>
      <c r="L215" s="38">
        <v>46062</v>
      </c>
      <c r="M215" s="12">
        <v>9.2499999999999999E-2</v>
      </c>
      <c r="N215" s="11">
        <f>_xlfn.XLOOKUP(E215,ICMS!C:C,ICMS!D:D)</f>
        <v>0.12</v>
      </c>
      <c r="O215" s="36">
        <f t="shared" si="10"/>
        <v>214</v>
      </c>
      <c r="P215" s="10"/>
      <c r="Q215" s="10" t="s">
        <v>140</v>
      </c>
      <c r="R215" s="26" t="s">
        <v>169</v>
      </c>
      <c r="S215" s="26" t="s">
        <v>172</v>
      </c>
    </row>
    <row r="216" spans="1:19" x14ac:dyDescent="0.3">
      <c r="A216" s="33" t="s">
        <v>15</v>
      </c>
      <c r="B216" s="34" t="s">
        <v>48</v>
      </c>
      <c r="C216" s="35" t="s">
        <v>46</v>
      </c>
      <c r="D216" s="36">
        <v>7</v>
      </c>
      <c r="E216" s="36" t="s">
        <v>48</v>
      </c>
      <c r="F216" s="36" t="s">
        <v>49</v>
      </c>
      <c r="G216" s="36" t="s">
        <v>51</v>
      </c>
      <c r="H216" s="24">
        <f t="shared" si="9"/>
        <v>750000.01</v>
      </c>
      <c r="I216" s="24">
        <v>1500000</v>
      </c>
      <c r="J216" s="27">
        <v>2.8176999999999999</v>
      </c>
      <c r="K216" s="37">
        <v>0</v>
      </c>
      <c r="L216" s="38">
        <v>46062</v>
      </c>
      <c r="M216" s="12">
        <v>9.2499999999999999E-2</v>
      </c>
      <c r="N216" s="11">
        <f>_xlfn.XLOOKUP(E216,ICMS!C:C,ICMS!D:D)</f>
        <v>0.12</v>
      </c>
      <c r="O216" s="36">
        <f t="shared" si="10"/>
        <v>215</v>
      </c>
      <c r="P216" s="10"/>
      <c r="Q216" s="10" t="s">
        <v>140</v>
      </c>
      <c r="R216" s="26" t="s">
        <v>169</v>
      </c>
      <c r="S216" s="26" t="s">
        <v>172</v>
      </c>
    </row>
    <row r="217" spans="1:19" x14ac:dyDescent="0.3">
      <c r="A217" s="33" t="s">
        <v>15</v>
      </c>
      <c r="B217" s="34" t="s">
        <v>48</v>
      </c>
      <c r="C217" s="35" t="s">
        <v>46</v>
      </c>
      <c r="D217" s="36">
        <v>8</v>
      </c>
      <c r="E217" s="36" t="s">
        <v>48</v>
      </c>
      <c r="F217" s="36" t="s">
        <v>49</v>
      </c>
      <c r="G217" s="36" t="s">
        <v>51</v>
      </c>
      <c r="H217" s="24">
        <f t="shared" si="9"/>
        <v>1500000.01</v>
      </c>
      <c r="I217" s="24">
        <v>3000000</v>
      </c>
      <c r="J217" s="27">
        <v>2.6998000000000002</v>
      </c>
      <c r="K217" s="37">
        <v>0</v>
      </c>
      <c r="L217" s="38">
        <v>46062</v>
      </c>
      <c r="M217" s="12">
        <v>9.2499999999999999E-2</v>
      </c>
      <c r="N217" s="11">
        <f>_xlfn.XLOOKUP(E217,ICMS!C:C,ICMS!D:D)</f>
        <v>0.12</v>
      </c>
      <c r="O217" s="36">
        <f t="shared" si="10"/>
        <v>216</v>
      </c>
      <c r="P217" s="10"/>
      <c r="Q217" s="10" t="s">
        <v>140</v>
      </c>
      <c r="R217" s="26" t="s">
        <v>169</v>
      </c>
      <c r="S217" s="26" t="s">
        <v>172</v>
      </c>
    </row>
    <row r="218" spans="1:19" x14ac:dyDescent="0.3">
      <c r="A218" s="33" t="s">
        <v>15</v>
      </c>
      <c r="B218" s="34" t="s">
        <v>48</v>
      </c>
      <c r="C218" s="35" t="s">
        <v>46</v>
      </c>
      <c r="D218" s="36">
        <v>9</v>
      </c>
      <c r="E218" s="36" t="s">
        <v>48</v>
      </c>
      <c r="F218" s="36" t="s">
        <v>49</v>
      </c>
      <c r="G218" s="36" t="s">
        <v>51</v>
      </c>
      <c r="H218" s="24">
        <f t="shared" si="9"/>
        <v>3000000.01</v>
      </c>
      <c r="I218" s="24">
        <v>6000000</v>
      </c>
      <c r="J218" s="27">
        <v>2.5857000000000001</v>
      </c>
      <c r="K218" s="37">
        <v>0</v>
      </c>
      <c r="L218" s="38">
        <v>46062</v>
      </c>
      <c r="M218" s="12">
        <v>9.2499999999999999E-2</v>
      </c>
      <c r="N218" s="11">
        <f>_xlfn.XLOOKUP(E218,ICMS!C:C,ICMS!D:D)</f>
        <v>0.12</v>
      </c>
      <c r="O218" s="36">
        <f t="shared" si="10"/>
        <v>217</v>
      </c>
      <c r="P218" s="10"/>
      <c r="Q218" s="10" t="s">
        <v>140</v>
      </c>
      <c r="R218" s="28" t="s">
        <v>169</v>
      </c>
      <c r="S218" s="26" t="s">
        <v>172</v>
      </c>
    </row>
    <row r="219" spans="1:19" x14ac:dyDescent="0.3">
      <c r="A219" s="33" t="s">
        <v>15</v>
      </c>
      <c r="B219" s="34" t="s">
        <v>48</v>
      </c>
      <c r="C219" s="35" t="s">
        <v>46</v>
      </c>
      <c r="D219" s="36">
        <v>10</v>
      </c>
      <c r="E219" s="36" t="s">
        <v>48</v>
      </c>
      <c r="F219" s="36" t="s">
        <v>49</v>
      </c>
      <c r="G219" s="36" t="s">
        <v>51</v>
      </c>
      <c r="H219" s="24">
        <f t="shared" si="9"/>
        <v>6000000.0099999998</v>
      </c>
      <c r="I219" s="24">
        <v>9000000</v>
      </c>
      <c r="J219" s="27">
        <v>2.5663</v>
      </c>
      <c r="K219" s="37">
        <v>0</v>
      </c>
      <c r="L219" s="38">
        <v>46062</v>
      </c>
      <c r="M219" s="12">
        <v>9.2499999999999999E-2</v>
      </c>
      <c r="N219" s="11">
        <f>_xlfn.XLOOKUP(E219,ICMS!C:C,ICMS!D:D)</f>
        <v>0.12</v>
      </c>
      <c r="O219" s="36">
        <f t="shared" si="10"/>
        <v>218</v>
      </c>
      <c r="P219" s="10"/>
      <c r="Q219" s="10" t="s">
        <v>140</v>
      </c>
      <c r="R219" s="26" t="s">
        <v>169</v>
      </c>
      <c r="S219" s="26" t="s">
        <v>172</v>
      </c>
    </row>
    <row r="220" spans="1:19" x14ac:dyDescent="0.3">
      <c r="A220" s="33" t="s">
        <v>15</v>
      </c>
      <c r="B220" s="34" t="s">
        <v>48</v>
      </c>
      <c r="C220" s="35" t="s">
        <v>46</v>
      </c>
      <c r="D220" s="36">
        <v>11</v>
      </c>
      <c r="E220" s="36" t="s">
        <v>48</v>
      </c>
      <c r="F220" s="36" t="s">
        <v>49</v>
      </c>
      <c r="G220" s="36" t="s">
        <v>51</v>
      </c>
      <c r="H220" s="24">
        <f t="shared" si="9"/>
        <v>9000000.0099999998</v>
      </c>
      <c r="I220" s="24">
        <v>12000000</v>
      </c>
      <c r="J220" s="27">
        <v>2.54</v>
      </c>
      <c r="K220" s="37">
        <v>0</v>
      </c>
      <c r="L220" s="38">
        <v>46062</v>
      </c>
      <c r="M220" s="12">
        <v>9.2499999999999999E-2</v>
      </c>
      <c r="N220" s="11">
        <f>_xlfn.XLOOKUP(E220,ICMS!C:C,ICMS!D:D)</f>
        <v>0.12</v>
      </c>
      <c r="O220" s="36">
        <f t="shared" si="10"/>
        <v>219</v>
      </c>
      <c r="P220" s="10"/>
      <c r="Q220" s="10" t="s">
        <v>140</v>
      </c>
      <c r="R220" s="26" t="s">
        <v>169</v>
      </c>
      <c r="S220" s="26" t="s">
        <v>172</v>
      </c>
    </row>
    <row r="221" spans="1:19" x14ac:dyDescent="0.3">
      <c r="A221" s="33" t="s">
        <v>15</v>
      </c>
      <c r="B221" s="34" t="s">
        <v>48</v>
      </c>
      <c r="C221" s="35" t="s">
        <v>46</v>
      </c>
      <c r="D221" s="36">
        <v>12</v>
      </c>
      <c r="E221" s="36" t="s">
        <v>48</v>
      </c>
      <c r="F221" s="36" t="s">
        <v>49</v>
      </c>
      <c r="G221" s="36" t="s">
        <v>51</v>
      </c>
      <c r="H221" s="24">
        <f t="shared" si="9"/>
        <v>12000000.01</v>
      </c>
      <c r="I221" s="24">
        <v>99999999999</v>
      </c>
      <c r="J221" s="27">
        <v>2.5278</v>
      </c>
      <c r="K221" s="37">
        <v>0</v>
      </c>
      <c r="L221" s="38">
        <v>46062</v>
      </c>
      <c r="M221" s="12">
        <v>9.2499999999999999E-2</v>
      </c>
      <c r="N221" s="11">
        <f>_xlfn.XLOOKUP(E221,ICMS!C:C,ICMS!D:D)</f>
        <v>0.12</v>
      </c>
      <c r="O221" s="36">
        <f t="shared" si="10"/>
        <v>220</v>
      </c>
      <c r="P221" s="10"/>
      <c r="Q221" s="10" t="s">
        <v>140</v>
      </c>
      <c r="R221" s="26" t="s">
        <v>169</v>
      </c>
      <c r="S221" s="26" t="s">
        <v>172</v>
      </c>
    </row>
    <row r="222" spans="1:19" x14ac:dyDescent="0.3">
      <c r="A222" s="33" t="s">
        <v>13</v>
      </c>
      <c r="B222" s="34" t="s">
        <v>48</v>
      </c>
      <c r="C222" s="35" t="s">
        <v>80</v>
      </c>
      <c r="D222" s="36">
        <v>1</v>
      </c>
      <c r="E222" s="36" t="s">
        <v>48</v>
      </c>
      <c r="F222" s="36" t="s">
        <v>49</v>
      </c>
      <c r="G222" s="36" t="s">
        <v>14</v>
      </c>
      <c r="H222" s="24">
        <v>0</v>
      </c>
      <c r="I222" s="24">
        <v>200</v>
      </c>
      <c r="J222" s="27">
        <v>7.1422999999999996</v>
      </c>
      <c r="K222" s="37">
        <v>158.44</v>
      </c>
      <c r="L222" s="38">
        <v>46062</v>
      </c>
      <c r="M222" s="12">
        <v>9.2499999999999999E-2</v>
      </c>
      <c r="N222" s="11">
        <f>_xlfn.XLOOKUP(E222,ICMS!C:C,ICMS!D:D)</f>
        <v>0.12</v>
      </c>
      <c r="O222" s="36">
        <f t="shared" si="10"/>
        <v>221</v>
      </c>
      <c r="P222" s="10"/>
      <c r="Q222" s="10" t="s">
        <v>139</v>
      </c>
      <c r="R222" s="26" t="s">
        <v>170</v>
      </c>
      <c r="S222" s="26" t="s">
        <v>172</v>
      </c>
    </row>
    <row r="223" spans="1:19" x14ac:dyDescent="0.3">
      <c r="A223" s="33" t="s">
        <v>13</v>
      </c>
      <c r="B223" s="34" t="s">
        <v>48</v>
      </c>
      <c r="C223" s="35" t="s">
        <v>80</v>
      </c>
      <c r="D223" s="36">
        <v>2</v>
      </c>
      <c r="E223" s="36" t="s">
        <v>48</v>
      </c>
      <c r="F223" s="36" t="s">
        <v>49</v>
      </c>
      <c r="G223" s="36" t="s">
        <v>14</v>
      </c>
      <c r="H223" s="24">
        <f t="shared" si="9"/>
        <v>200.01</v>
      </c>
      <c r="I223" s="24">
        <v>1500</v>
      </c>
      <c r="J223" s="27">
        <v>6.6224999999999996</v>
      </c>
      <c r="K223" s="37">
        <v>262.39999999999998</v>
      </c>
      <c r="L223" s="38">
        <v>46062</v>
      </c>
      <c r="M223" s="12">
        <v>9.2499999999999999E-2</v>
      </c>
      <c r="N223" s="11">
        <f>_xlfn.XLOOKUP(E223,ICMS!C:C,ICMS!D:D)</f>
        <v>0.12</v>
      </c>
      <c r="O223" s="36">
        <f t="shared" si="10"/>
        <v>222</v>
      </c>
      <c r="P223" s="10"/>
      <c r="Q223" s="10" t="s">
        <v>139</v>
      </c>
      <c r="R223" s="26" t="s">
        <v>170</v>
      </c>
      <c r="S223" s="26" t="s">
        <v>172</v>
      </c>
    </row>
    <row r="224" spans="1:19" x14ac:dyDescent="0.3">
      <c r="A224" s="33" t="s">
        <v>13</v>
      </c>
      <c r="B224" s="34" t="s">
        <v>48</v>
      </c>
      <c r="C224" s="35" t="s">
        <v>80</v>
      </c>
      <c r="D224" s="36">
        <v>3</v>
      </c>
      <c r="E224" s="36" t="s">
        <v>48</v>
      </c>
      <c r="F224" s="36" t="s">
        <v>49</v>
      </c>
      <c r="G224" s="36" t="s">
        <v>14</v>
      </c>
      <c r="H224" s="24">
        <f t="shared" si="9"/>
        <v>1500.01</v>
      </c>
      <c r="I224" s="24">
        <v>10000</v>
      </c>
      <c r="J224" s="27">
        <v>6.4236000000000004</v>
      </c>
      <c r="K224" s="37">
        <v>560.80999999999995</v>
      </c>
      <c r="L224" s="38">
        <v>46062</v>
      </c>
      <c r="M224" s="12">
        <v>9.2499999999999999E-2</v>
      </c>
      <c r="N224" s="11">
        <f>_xlfn.XLOOKUP(E224,ICMS!C:C,ICMS!D:D)</f>
        <v>0.12</v>
      </c>
      <c r="O224" s="36">
        <f t="shared" si="10"/>
        <v>223</v>
      </c>
      <c r="P224" s="10"/>
      <c r="Q224" s="10" t="s">
        <v>139</v>
      </c>
      <c r="R224" s="26" t="s">
        <v>170</v>
      </c>
      <c r="S224" s="26" t="s">
        <v>172</v>
      </c>
    </row>
    <row r="225" spans="1:19" x14ac:dyDescent="0.3">
      <c r="A225" s="33" t="s">
        <v>13</v>
      </c>
      <c r="B225" s="34" t="s">
        <v>48</v>
      </c>
      <c r="C225" s="35" t="s">
        <v>80</v>
      </c>
      <c r="D225" s="36">
        <v>4</v>
      </c>
      <c r="E225" s="36" t="s">
        <v>48</v>
      </c>
      <c r="F225" s="36" t="s">
        <v>49</v>
      </c>
      <c r="G225" s="36" t="s">
        <v>14</v>
      </c>
      <c r="H225" s="24">
        <f t="shared" si="9"/>
        <v>10000.01</v>
      </c>
      <c r="I225" s="24">
        <v>99999999999</v>
      </c>
      <c r="J225" s="27">
        <v>5.3880999999999997</v>
      </c>
      <c r="K225" s="37">
        <v>10915.07</v>
      </c>
      <c r="L225" s="38">
        <v>46062</v>
      </c>
      <c r="M225" s="12">
        <v>9.2499999999999999E-2</v>
      </c>
      <c r="N225" s="11">
        <f>_xlfn.XLOOKUP(E225,ICMS!C:C,ICMS!D:D)</f>
        <v>0.12</v>
      </c>
      <c r="O225" s="36">
        <f t="shared" si="10"/>
        <v>224</v>
      </c>
      <c r="P225" s="10"/>
      <c r="Q225" s="10" t="s">
        <v>139</v>
      </c>
      <c r="R225" s="26" t="s">
        <v>170</v>
      </c>
      <c r="S225" s="26" t="s">
        <v>172</v>
      </c>
    </row>
    <row r="226" spans="1:19" x14ac:dyDescent="0.3">
      <c r="A226" s="33" t="s">
        <v>8</v>
      </c>
      <c r="B226" s="34" t="s">
        <v>71</v>
      </c>
      <c r="C226" s="35" t="s">
        <v>46</v>
      </c>
      <c r="D226" s="36">
        <v>1</v>
      </c>
      <c r="E226" s="36" t="s">
        <v>71</v>
      </c>
      <c r="F226" s="36" t="s">
        <v>77</v>
      </c>
      <c r="G226" s="36" t="s">
        <v>76</v>
      </c>
      <c r="H226" s="24">
        <v>0</v>
      </c>
      <c r="I226" s="24">
        <v>449.7</v>
      </c>
      <c r="J226" s="27">
        <v>5.6483999999999996</v>
      </c>
      <c r="K226" s="37">
        <v>0</v>
      </c>
      <c r="L226" s="38">
        <v>46143</v>
      </c>
      <c r="M226" s="12">
        <v>9.2499999999999999E-2</v>
      </c>
      <c r="N226" s="11">
        <f>_xlfn.XLOOKUP(E226,ICMS!C:C,ICMS!D:D)</f>
        <v>0.17</v>
      </c>
      <c r="O226" s="36">
        <f t="shared" si="10"/>
        <v>225</v>
      </c>
      <c r="P226" s="10"/>
      <c r="Q226" s="10" t="s">
        <v>140</v>
      </c>
      <c r="R226" s="28" t="s">
        <v>150</v>
      </c>
      <c r="S226" s="26" t="s">
        <v>163</v>
      </c>
    </row>
    <row r="227" spans="1:19" x14ac:dyDescent="0.3">
      <c r="A227" s="33" t="s">
        <v>8</v>
      </c>
      <c r="B227" s="34" t="s">
        <v>71</v>
      </c>
      <c r="C227" s="35" t="s">
        <v>46</v>
      </c>
      <c r="D227" s="36">
        <v>2</v>
      </c>
      <c r="E227" s="36" t="s">
        <v>71</v>
      </c>
      <c r="F227" s="36" t="s">
        <v>77</v>
      </c>
      <c r="G227" s="36" t="s">
        <v>76</v>
      </c>
      <c r="H227" s="24">
        <f t="shared" si="9"/>
        <v>449.71</v>
      </c>
      <c r="I227" s="24">
        <v>1049.7</v>
      </c>
      <c r="J227" s="27">
        <v>5.4484000000000004</v>
      </c>
      <c r="K227" s="37">
        <v>0</v>
      </c>
      <c r="L227" s="38">
        <v>46143</v>
      </c>
      <c r="M227" s="12">
        <v>9.2499999999999999E-2</v>
      </c>
      <c r="N227" s="11">
        <f>_xlfn.XLOOKUP(E227,ICMS!C:C,ICMS!D:D)</f>
        <v>0.17</v>
      </c>
      <c r="O227" s="36">
        <f t="shared" si="10"/>
        <v>226</v>
      </c>
      <c r="P227" s="10"/>
      <c r="Q227" s="10" t="s">
        <v>140</v>
      </c>
      <c r="R227" s="28" t="s">
        <v>150</v>
      </c>
      <c r="S227" s="26" t="s">
        <v>163</v>
      </c>
    </row>
    <row r="228" spans="1:19" x14ac:dyDescent="0.3">
      <c r="A228" s="33" t="s">
        <v>8</v>
      </c>
      <c r="B228" s="34" t="s">
        <v>71</v>
      </c>
      <c r="C228" s="35" t="s">
        <v>46</v>
      </c>
      <c r="D228" s="36">
        <v>3</v>
      </c>
      <c r="E228" s="36" t="s">
        <v>71</v>
      </c>
      <c r="F228" s="36" t="s">
        <v>77</v>
      </c>
      <c r="G228" s="36" t="s">
        <v>76</v>
      </c>
      <c r="H228" s="24">
        <f t="shared" si="9"/>
        <v>1049.71</v>
      </c>
      <c r="I228" s="24">
        <v>2099.6999999999998</v>
      </c>
      <c r="J228" s="27">
        <v>5.2484000000000002</v>
      </c>
      <c r="K228" s="37">
        <v>0</v>
      </c>
      <c r="L228" s="38">
        <v>46143</v>
      </c>
      <c r="M228" s="12">
        <v>9.2499999999999999E-2</v>
      </c>
      <c r="N228" s="11">
        <f>_xlfn.XLOOKUP(E228,ICMS!C:C,ICMS!D:D)</f>
        <v>0.17</v>
      </c>
      <c r="O228" s="36">
        <f t="shared" si="10"/>
        <v>227</v>
      </c>
      <c r="P228" s="10"/>
      <c r="Q228" s="10" t="s">
        <v>140</v>
      </c>
      <c r="R228" s="28" t="s">
        <v>150</v>
      </c>
      <c r="S228" s="26" t="s">
        <v>163</v>
      </c>
    </row>
    <row r="229" spans="1:19" x14ac:dyDescent="0.3">
      <c r="A229" s="33" t="s">
        <v>8</v>
      </c>
      <c r="B229" s="34" t="s">
        <v>71</v>
      </c>
      <c r="C229" s="35" t="s">
        <v>46</v>
      </c>
      <c r="D229" s="36">
        <v>4</v>
      </c>
      <c r="E229" s="36" t="s">
        <v>71</v>
      </c>
      <c r="F229" s="36" t="s">
        <v>77</v>
      </c>
      <c r="G229" s="36" t="s">
        <v>76</v>
      </c>
      <c r="H229" s="24">
        <f t="shared" si="9"/>
        <v>2099.71</v>
      </c>
      <c r="I229" s="24">
        <v>99999999999</v>
      </c>
      <c r="J229" s="27">
        <v>5.1483999999999996</v>
      </c>
      <c r="K229" s="37">
        <v>0</v>
      </c>
      <c r="L229" s="38">
        <v>46143</v>
      </c>
      <c r="M229" s="12">
        <v>9.2499999999999999E-2</v>
      </c>
      <c r="N229" s="11">
        <f>_xlfn.XLOOKUP(E229,ICMS!C:C,ICMS!D:D)</f>
        <v>0.17</v>
      </c>
      <c r="O229" s="36">
        <f t="shared" si="10"/>
        <v>228</v>
      </c>
      <c r="P229" s="10"/>
      <c r="Q229" s="10" t="s">
        <v>140</v>
      </c>
      <c r="R229" s="28" t="s">
        <v>150</v>
      </c>
      <c r="S229" s="26" t="s">
        <v>163</v>
      </c>
    </row>
    <row r="230" spans="1:19" x14ac:dyDescent="0.3">
      <c r="A230" s="33" t="s">
        <v>18</v>
      </c>
      <c r="B230" s="34" t="s">
        <v>71</v>
      </c>
      <c r="C230" s="35" t="s">
        <v>46</v>
      </c>
      <c r="D230" s="36">
        <v>1</v>
      </c>
      <c r="E230" s="36" t="s">
        <v>71</v>
      </c>
      <c r="F230" s="36" t="s">
        <v>77</v>
      </c>
      <c r="G230" s="36" t="s">
        <v>83</v>
      </c>
      <c r="H230" s="24">
        <v>0</v>
      </c>
      <c r="I230" s="24">
        <v>3</v>
      </c>
      <c r="J230" s="27">
        <v>5.7984</v>
      </c>
      <c r="K230" s="37">
        <v>0</v>
      </c>
      <c r="L230" s="38">
        <v>46143</v>
      </c>
      <c r="M230" s="12">
        <v>9.2499999999999999E-2</v>
      </c>
      <c r="N230" s="11">
        <f>_xlfn.XLOOKUP(E230,ICMS!C:C,ICMS!D:D)</f>
        <v>0.17</v>
      </c>
      <c r="O230" s="36">
        <f t="shared" si="10"/>
        <v>229</v>
      </c>
      <c r="P230" s="10"/>
      <c r="Q230" s="10" t="s">
        <v>140</v>
      </c>
      <c r="R230" s="28" t="s">
        <v>150</v>
      </c>
      <c r="S230" s="26" t="s">
        <v>163</v>
      </c>
    </row>
    <row r="231" spans="1:19" x14ac:dyDescent="0.3">
      <c r="A231" s="33" t="s">
        <v>18</v>
      </c>
      <c r="B231" s="34" t="s">
        <v>71</v>
      </c>
      <c r="C231" s="35" t="s">
        <v>46</v>
      </c>
      <c r="D231" s="36">
        <v>2</v>
      </c>
      <c r="E231" s="36" t="s">
        <v>71</v>
      </c>
      <c r="F231" s="36" t="s">
        <v>77</v>
      </c>
      <c r="G231" s="36" t="s">
        <v>83</v>
      </c>
      <c r="H231" s="24">
        <f t="shared" si="9"/>
        <v>3.01</v>
      </c>
      <c r="I231" s="24">
        <v>6</v>
      </c>
      <c r="J231" s="27">
        <v>5.7484000000000002</v>
      </c>
      <c r="K231" s="37">
        <v>0</v>
      </c>
      <c r="L231" s="38">
        <v>46143</v>
      </c>
      <c r="M231" s="12">
        <v>9.2499999999999999E-2</v>
      </c>
      <c r="N231" s="11">
        <f>_xlfn.XLOOKUP(E231,ICMS!C:C,ICMS!D:D)</f>
        <v>0.17</v>
      </c>
      <c r="O231" s="36">
        <f t="shared" si="10"/>
        <v>230</v>
      </c>
      <c r="P231" s="10"/>
      <c r="Q231" s="10" t="s">
        <v>140</v>
      </c>
      <c r="R231" s="28" t="s">
        <v>150</v>
      </c>
      <c r="S231" s="26" t="s">
        <v>163</v>
      </c>
    </row>
    <row r="232" spans="1:19" x14ac:dyDescent="0.3">
      <c r="A232" s="33" t="s">
        <v>18</v>
      </c>
      <c r="B232" s="34" t="s">
        <v>71</v>
      </c>
      <c r="C232" s="35" t="s">
        <v>46</v>
      </c>
      <c r="D232" s="36">
        <v>3</v>
      </c>
      <c r="E232" s="36" t="s">
        <v>71</v>
      </c>
      <c r="F232" s="36" t="s">
        <v>77</v>
      </c>
      <c r="G232" s="36" t="s">
        <v>83</v>
      </c>
      <c r="H232" s="24">
        <f t="shared" si="9"/>
        <v>6.01</v>
      </c>
      <c r="I232" s="24">
        <v>15</v>
      </c>
      <c r="J232" s="27">
        <v>5.6984000000000004</v>
      </c>
      <c r="K232" s="37">
        <v>0</v>
      </c>
      <c r="L232" s="38">
        <v>46143</v>
      </c>
      <c r="M232" s="12">
        <v>9.2499999999999999E-2</v>
      </c>
      <c r="N232" s="11">
        <f>_xlfn.XLOOKUP(E232,ICMS!C:C,ICMS!D:D)</f>
        <v>0.17</v>
      </c>
      <c r="O232" s="36">
        <f t="shared" si="10"/>
        <v>231</v>
      </c>
      <c r="P232" s="10"/>
      <c r="Q232" s="10" t="s">
        <v>140</v>
      </c>
      <c r="R232" s="28" t="s">
        <v>150</v>
      </c>
      <c r="S232" s="26" t="s">
        <v>163</v>
      </c>
    </row>
    <row r="233" spans="1:19" x14ac:dyDescent="0.3">
      <c r="A233" s="33" t="s">
        <v>18</v>
      </c>
      <c r="B233" s="34" t="s">
        <v>71</v>
      </c>
      <c r="C233" s="35" t="s">
        <v>46</v>
      </c>
      <c r="D233" s="36">
        <v>4</v>
      </c>
      <c r="E233" s="36" t="s">
        <v>71</v>
      </c>
      <c r="F233" s="36" t="s">
        <v>77</v>
      </c>
      <c r="G233" s="36" t="s">
        <v>83</v>
      </c>
      <c r="H233" s="24">
        <f t="shared" si="9"/>
        <v>15.01</v>
      </c>
      <c r="I233" s="24">
        <v>99999999999</v>
      </c>
      <c r="J233" s="27">
        <v>5.5983999999999998</v>
      </c>
      <c r="K233" s="37">
        <v>0</v>
      </c>
      <c r="L233" s="38">
        <v>46143</v>
      </c>
      <c r="M233" s="12">
        <v>9.2499999999999999E-2</v>
      </c>
      <c r="N233" s="11">
        <f>_xlfn.XLOOKUP(E233,ICMS!C:C,ICMS!D:D)</f>
        <v>0.17</v>
      </c>
      <c r="O233" s="36">
        <f t="shared" si="10"/>
        <v>232</v>
      </c>
      <c r="P233" s="10"/>
      <c r="Q233" s="10" t="s">
        <v>140</v>
      </c>
      <c r="R233" s="28" t="s">
        <v>150</v>
      </c>
      <c r="S233" s="26" t="s">
        <v>163</v>
      </c>
    </row>
    <row r="234" spans="1:19" s="35" customFormat="1" x14ac:dyDescent="0.3">
      <c r="A234" s="33" t="s">
        <v>13</v>
      </c>
      <c r="B234" s="34" t="s">
        <v>71</v>
      </c>
      <c r="C234" s="35" t="s">
        <v>46</v>
      </c>
      <c r="D234" s="36">
        <v>1</v>
      </c>
      <c r="E234" s="36" t="s">
        <v>71</v>
      </c>
      <c r="F234" s="36" t="s">
        <v>77</v>
      </c>
      <c r="G234" s="36" t="s">
        <v>14</v>
      </c>
      <c r="H234" s="24">
        <v>0</v>
      </c>
      <c r="I234" s="24">
        <v>89.997</v>
      </c>
      <c r="J234" s="27">
        <v>5.2484000000000002</v>
      </c>
      <c r="K234" s="37">
        <v>0</v>
      </c>
      <c r="L234" s="38">
        <v>46143</v>
      </c>
      <c r="M234" s="12">
        <v>9.2499999999999999E-2</v>
      </c>
      <c r="N234" s="11">
        <f>_xlfn.XLOOKUP(E234,ICMS!C:C,ICMS!D:D)</f>
        <v>0.17</v>
      </c>
      <c r="O234" s="36">
        <f t="shared" si="10"/>
        <v>233</v>
      </c>
      <c r="P234" s="36"/>
      <c r="Q234" s="36" t="s">
        <v>140</v>
      </c>
      <c r="R234" s="40" t="s">
        <v>150</v>
      </c>
      <c r="S234" s="39" t="s">
        <v>163</v>
      </c>
    </row>
    <row r="235" spans="1:19" s="35" customFormat="1" x14ac:dyDescent="0.3">
      <c r="A235" s="33" t="s">
        <v>13</v>
      </c>
      <c r="B235" s="34" t="s">
        <v>71</v>
      </c>
      <c r="C235" s="35" t="s">
        <v>46</v>
      </c>
      <c r="D235" s="36">
        <v>2</v>
      </c>
      <c r="E235" s="36" t="s">
        <v>71</v>
      </c>
      <c r="F235" s="36" t="s">
        <v>77</v>
      </c>
      <c r="G235" s="36" t="s">
        <v>14</v>
      </c>
      <c r="H235" s="24">
        <f t="shared" si="9"/>
        <v>90.007000000000005</v>
      </c>
      <c r="I235" s="24">
        <v>239.99700000000001</v>
      </c>
      <c r="J235" s="27">
        <v>4.9984000000000002</v>
      </c>
      <c r="K235" s="37">
        <v>0</v>
      </c>
      <c r="L235" s="38">
        <v>46143</v>
      </c>
      <c r="M235" s="12">
        <v>9.2499999999999999E-2</v>
      </c>
      <c r="N235" s="11">
        <f>_xlfn.XLOOKUP(E235,ICMS!C:C,ICMS!D:D)</f>
        <v>0.17</v>
      </c>
      <c r="O235" s="36">
        <f t="shared" si="10"/>
        <v>234</v>
      </c>
      <c r="P235" s="36"/>
      <c r="Q235" s="36" t="s">
        <v>140</v>
      </c>
      <c r="R235" s="40" t="s">
        <v>150</v>
      </c>
      <c r="S235" s="39" t="s">
        <v>163</v>
      </c>
    </row>
    <row r="236" spans="1:19" s="35" customFormat="1" x14ac:dyDescent="0.3">
      <c r="A236" s="33" t="s">
        <v>13</v>
      </c>
      <c r="B236" s="34" t="s">
        <v>71</v>
      </c>
      <c r="C236" s="35" t="s">
        <v>46</v>
      </c>
      <c r="D236" s="36">
        <v>3</v>
      </c>
      <c r="E236" s="36" t="s">
        <v>71</v>
      </c>
      <c r="F236" s="36" t="s">
        <v>77</v>
      </c>
      <c r="G236" s="36" t="s">
        <v>14</v>
      </c>
      <c r="H236" s="24">
        <f t="shared" si="9"/>
        <v>240.00700000000001</v>
      </c>
      <c r="I236" s="24">
        <v>989.99699999999984</v>
      </c>
      <c r="J236" s="27">
        <v>4.8784000000000001</v>
      </c>
      <c r="K236" s="37">
        <v>0</v>
      </c>
      <c r="L236" s="38">
        <v>46143</v>
      </c>
      <c r="M236" s="12">
        <v>9.2499999999999999E-2</v>
      </c>
      <c r="N236" s="11">
        <f>_xlfn.XLOOKUP(E236,ICMS!C:C,ICMS!D:D)</f>
        <v>0.17</v>
      </c>
      <c r="O236" s="36">
        <f t="shared" si="10"/>
        <v>235</v>
      </c>
      <c r="P236" s="36"/>
      <c r="Q236" s="36" t="s">
        <v>140</v>
      </c>
      <c r="R236" s="40" t="s">
        <v>150</v>
      </c>
      <c r="S236" s="39" t="s">
        <v>163</v>
      </c>
    </row>
    <row r="237" spans="1:19" s="35" customFormat="1" x14ac:dyDescent="0.3">
      <c r="A237" s="33" t="s">
        <v>13</v>
      </c>
      <c r="B237" s="34" t="s">
        <v>71</v>
      </c>
      <c r="C237" s="35" t="s">
        <v>46</v>
      </c>
      <c r="D237" s="36">
        <v>4</v>
      </c>
      <c r="E237" s="36" t="s">
        <v>71</v>
      </c>
      <c r="F237" s="36" t="s">
        <v>77</v>
      </c>
      <c r="G237" s="36" t="s">
        <v>14</v>
      </c>
      <c r="H237" s="24">
        <f t="shared" si="9"/>
        <v>990.00699999999983</v>
      </c>
      <c r="I237" s="24">
        <v>99999999999</v>
      </c>
      <c r="J237" s="27">
        <v>4.6984000000000004</v>
      </c>
      <c r="K237" s="37">
        <v>0</v>
      </c>
      <c r="L237" s="38">
        <v>46143</v>
      </c>
      <c r="M237" s="12">
        <v>9.2499999999999999E-2</v>
      </c>
      <c r="N237" s="11">
        <f>_xlfn.XLOOKUP(E237,ICMS!C:C,ICMS!D:D)</f>
        <v>0.17</v>
      </c>
      <c r="O237" s="36">
        <f t="shared" si="10"/>
        <v>236</v>
      </c>
      <c r="P237" s="36"/>
      <c r="Q237" s="36" t="s">
        <v>140</v>
      </c>
      <c r="R237" s="40" t="s">
        <v>150</v>
      </c>
      <c r="S237" s="39" t="s">
        <v>163</v>
      </c>
    </row>
    <row r="238" spans="1:19" s="35" customFormat="1" x14ac:dyDescent="0.3">
      <c r="A238" s="33" t="s">
        <v>15</v>
      </c>
      <c r="B238" s="34" t="s">
        <v>71</v>
      </c>
      <c r="C238" s="35" t="s">
        <v>46</v>
      </c>
      <c r="D238" s="36">
        <v>1</v>
      </c>
      <c r="E238" s="36" t="s">
        <v>71</v>
      </c>
      <c r="F238" s="36" t="s">
        <v>77</v>
      </c>
      <c r="G238" s="36" t="s">
        <v>21</v>
      </c>
      <c r="H238" s="24">
        <v>0</v>
      </c>
      <c r="I238" s="24">
        <v>17.997</v>
      </c>
      <c r="J238" s="27">
        <v>4.6871</v>
      </c>
      <c r="K238" s="37">
        <v>0</v>
      </c>
      <c r="L238" s="38">
        <v>46143</v>
      </c>
      <c r="M238" s="12">
        <v>9.2499999999999999E-2</v>
      </c>
      <c r="N238" s="11">
        <f>_xlfn.XLOOKUP(E238,ICMS!C:C,ICMS!D:D)</f>
        <v>0.17</v>
      </c>
      <c r="O238" s="36">
        <f t="shared" si="10"/>
        <v>237</v>
      </c>
      <c r="P238" s="36"/>
      <c r="Q238" s="36" t="s">
        <v>140</v>
      </c>
      <c r="R238" s="40" t="s">
        <v>150</v>
      </c>
      <c r="S238" s="39" t="s">
        <v>163</v>
      </c>
    </row>
    <row r="239" spans="1:19" s="35" customFormat="1" x14ac:dyDescent="0.3">
      <c r="A239" s="33" t="s">
        <v>15</v>
      </c>
      <c r="B239" s="34" t="s">
        <v>71</v>
      </c>
      <c r="C239" s="35" t="s">
        <v>46</v>
      </c>
      <c r="D239" s="36">
        <v>2</v>
      </c>
      <c r="E239" s="36" t="s">
        <v>71</v>
      </c>
      <c r="F239" s="36" t="s">
        <v>77</v>
      </c>
      <c r="G239" s="36" t="s">
        <v>21</v>
      </c>
      <c r="H239" s="24">
        <f>I238+0.01</f>
        <v>18.007000000000001</v>
      </c>
      <c r="I239" s="24">
        <v>479.99700000000001</v>
      </c>
      <c r="J239" s="27">
        <v>4.4705000000000004</v>
      </c>
      <c r="K239" s="37">
        <v>0</v>
      </c>
      <c r="L239" s="38">
        <v>46143</v>
      </c>
      <c r="M239" s="12">
        <v>9.2499999999999999E-2</v>
      </c>
      <c r="N239" s="11">
        <f>_xlfn.XLOOKUP(E239,ICMS!C:C,ICMS!D:D)</f>
        <v>0.17</v>
      </c>
      <c r="O239" s="36">
        <f t="shared" si="10"/>
        <v>238</v>
      </c>
      <c r="P239" s="36"/>
      <c r="Q239" s="36" t="s">
        <v>140</v>
      </c>
      <c r="R239" s="40" t="s">
        <v>150</v>
      </c>
      <c r="S239" s="39" t="s">
        <v>163</v>
      </c>
    </row>
    <row r="240" spans="1:19" s="35" customFormat="1" x14ac:dyDescent="0.3">
      <c r="A240" s="33" t="s">
        <v>15</v>
      </c>
      <c r="B240" s="34" t="s">
        <v>71</v>
      </c>
      <c r="C240" s="35" t="s">
        <v>46</v>
      </c>
      <c r="D240" s="36">
        <v>3</v>
      </c>
      <c r="E240" s="36" t="s">
        <v>71</v>
      </c>
      <c r="F240" s="36" t="s">
        <v>77</v>
      </c>
      <c r="G240" s="36" t="s">
        <v>21</v>
      </c>
      <c r="H240" s="24">
        <f t="shared" ref="H240:H257" si="11">I239+0.01</f>
        <v>480.00700000000001</v>
      </c>
      <c r="I240" s="24">
        <v>4529.9970000000003</v>
      </c>
      <c r="J240" s="27">
        <v>4.3548</v>
      </c>
      <c r="K240" s="37">
        <v>0</v>
      </c>
      <c r="L240" s="38">
        <v>46143</v>
      </c>
      <c r="M240" s="12">
        <v>9.2499999999999999E-2</v>
      </c>
      <c r="N240" s="11">
        <f>_xlfn.XLOOKUP(E240,ICMS!C:C,ICMS!D:D)</f>
        <v>0.17</v>
      </c>
      <c r="O240" s="36">
        <f t="shared" si="10"/>
        <v>239</v>
      </c>
      <c r="P240" s="36"/>
      <c r="Q240" s="36" t="s">
        <v>140</v>
      </c>
      <c r="R240" s="40" t="s">
        <v>150</v>
      </c>
      <c r="S240" s="39" t="s">
        <v>163</v>
      </c>
    </row>
    <row r="241" spans="1:19" s="35" customFormat="1" x14ac:dyDescent="0.3">
      <c r="A241" s="33" t="s">
        <v>15</v>
      </c>
      <c r="B241" s="34" t="s">
        <v>71</v>
      </c>
      <c r="C241" s="35" t="s">
        <v>46</v>
      </c>
      <c r="D241" s="36">
        <v>4</v>
      </c>
      <c r="E241" s="36" t="s">
        <v>71</v>
      </c>
      <c r="F241" s="36" t="s">
        <v>77</v>
      </c>
      <c r="G241" s="36" t="s">
        <v>21</v>
      </c>
      <c r="H241" s="24">
        <f t="shared" si="11"/>
        <v>4530.0070000000005</v>
      </c>
      <c r="I241" s="24">
        <v>9029.9970000000012</v>
      </c>
      <c r="J241" s="27">
        <v>3.9679000000000002</v>
      </c>
      <c r="K241" s="37">
        <v>0</v>
      </c>
      <c r="L241" s="38">
        <v>46143</v>
      </c>
      <c r="M241" s="12">
        <v>9.2499999999999999E-2</v>
      </c>
      <c r="N241" s="11">
        <f>_xlfn.XLOOKUP(E241,ICMS!C:C,ICMS!D:D)</f>
        <v>0.17</v>
      </c>
      <c r="O241" s="36">
        <f t="shared" si="10"/>
        <v>240</v>
      </c>
      <c r="P241" s="36"/>
      <c r="Q241" s="36" t="s">
        <v>140</v>
      </c>
      <c r="R241" s="40" t="s">
        <v>150</v>
      </c>
      <c r="S241" s="39" t="s">
        <v>163</v>
      </c>
    </row>
    <row r="242" spans="1:19" s="35" customFormat="1" x14ac:dyDescent="0.3">
      <c r="A242" s="33" t="s">
        <v>15</v>
      </c>
      <c r="B242" s="34" t="s">
        <v>71</v>
      </c>
      <c r="C242" s="35" t="s">
        <v>46</v>
      </c>
      <c r="D242" s="36">
        <v>5</v>
      </c>
      <c r="E242" s="36" t="s">
        <v>71</v>
      </c>
      <c r="F242" s="36" t="s">
        <v>77</v>
      </c>
      <c r="G242" s="36" t="s">
        <v>21</v>
      </c>
      <c r="H242" s="24">
        <f t="shared" si="11"/>
        <v>9030.0070000000014</v>
      </c>
      <c r="I242" s="24">
        <v>30029.996999999999</v>
      </c>
      <c r="J242" s="27">
        <v>3.5909</v>
      </c>
      <c r="K242" s="37">
        <v>0</v>
      </c>
      <c r="L242" s="38">
        <v>46143</v>
      </c>
      <c r="M242" s="12">
        <v>9.2499999999999999E-2</v>
      </c>
      <c r="N242" s="11">
        <f>_xlfn.XLOOKUP(E242,ICMS!C:C,ICMS!D:D)</f>
        <v>0.17</v>
      </c>
      <c r="O242" s="36">
        <f t="shared" si="10"/>
        <v>241</v>
      </c>
      <c r="P242" s="36"/>
      <c r="Q242" s="36" t="s">
        <v>140</v>
      </c>
      <c r="R242" s="40" t="s">
        <v>150</v>
      </c>
      <c r="S242" s="39" t="s">
        <v>163</v>
      </c>
    </row>
    <row r="243" spans="1:19" s="35" customFormat="1" x14ac:dyDescent="0.3">
      <c r="A243" s="33" t="s">
        <v>15</v>
      </c>
      <c r="B243" s="34" t="s">
        <v>71</v>
      </c>
      <c r="C243" s="35" t="s">
        <v>46</v>
      </c>
      <c r="D243" s="36">
        <v>6</v>
      </c>
      <c r="E243" s="36" t="s">
        <v>71</v>
      </c>
      <c r="F243" s="36" t="s">
        <v>77</v>
      </c>
      <c r="G243" s="36" t="s">
        <v>21</v>
      </c>
      <c r="H243" s="24">
        <f t="shared" si="11"/>
        <v>30030.006999999998</v>
      </c>
      <c r="I243" s="24">
        <v>300029.99700000003</v>
      </c>
      <c r="J243" s="27">
        <v>3.0061</v>
      </c>
      <c r="K243" s="37">
        <v>0</v>
      </c>
      <c r="L243" s="38">
        <v>46143</v>
      </c>
      <c r="M243" s="12">
        <v>9.2499999999999999E-2</v>
      </c>
      <c r="N243" s="11">
        <f>_xlfn.XLOOKUP(E243,ICMS!C:C,ICMS!D:D)</f>
        <v>0.17</v>
      </c>
      <c r="O243" s="36">
        <f t="shared" si="10"/>
        <v>242</v>
      </c>
      <c r="P243" s="36"/>
      <c r="Q243" s="36" t="s">
        <v>140</v>
      </c>
      <c r="R243" s="40" t="s">
        <v>150</v>
      </c>
      <c r="S243" s="39" t="s">
        <v>163</v>
      </c>
    </row>
    <row r="244" spans="1:19" s="35" customFormat="1" x14ac:dyDescent="0.3">
      <c r="A244" s="33" t="s">
        <v>15</v>
      </c>
      <c r="B244" s="34" t="s">
        <v>71</v>
      </c>
      <c r="C244" s="35" t="s">
        <v>46</v>
      </c>
      <c r="D244" s="36">
        <v>7</v>
      </c>
      <c r="E244" s="36" t="s">
        <v>71</v>
      </c>
      <c r="F244" s="36" t="s">
        <v>77</v>
      </c>
      <c r="G244" s="36" t="s">
        <v>21</v>
      </c>
      <c r="H244" s="24">
        <f t="shared" si="11"/>
        <v>300030.00700000004</v>
      </c>
      <c r="I244" s="24">
        <v>450029.99700000003</v>
      </c>
      <c r="J244" s="27">
        <v>2.6025999999999998</v>
      </c>
      <c r="K244" s="37">
        <v>0</v>
      </c>
      <c r="L244" s="38">
        <v>46143</v>
      </c>
      <c r="M244" s="12">
        <v>9.2499999999999999E-2</v>
      </c>
      <c r="N244" s="11">
        <f>_xlfn.XLOOKUP(E244,ICMS!C:C,ICMS!D:D)</f>
        <v>0.17</v>
      </c>
      <c r="O244" s="36">
        <f t="shared" si="10"/>
        <v>243</v>
      </c>
      <c r="P244" s="36"/>
      <c r="Q244" s="36" t="s">
        <v>140</v>
      </c>
      <c r="R244" s="40" t="s">
        <v>150</v>
      </c>
      <c r="S244" s="39" t="s">
        <v>163</v>
      </c>
    </row>
    <row r="245" spans="1:19" s="35" customFormat="1" x14ac:dyDescent="0.3">
      <c r="A245" s="33" t="s">
        <v>15</v>
      </c>
      <c r="B245" s="34" t="s">
        <v>71</v>
      </c>
      <c r="C245" s="35" t="s">
        <v>46</v>
      </c>
      <c r="D245" s="36">
        <v>8</v>
      </c>
      <c r="E245" s="36" t="s">
        <v>71</v>
      </c>
      <c r="F245" s="36" t="s">
        <v>77</v>
      </c>
      <c r="G245" s="36" t="s">
        <v>21</v>
      </c>
      <c r="H245" s="24">
        <f t="shared" si="11"/>
        <v>450030.00700000004</v>
      </c>
      <c r="I245" s="24">
        <v>1500029.997</v>
      </c>
      <c r="J245" s="27">
        <v>2.5956999999999999</v>
      </c>
      <c r="K245" s="37">
        <v>0</v>
      </c>
      <c r="L245" s="38">
        <v>46143</v>
      </c>
      <c r="M245" s="12">
        <v>9.2499999999999999E-2</v>
      </c>
      <c r="N245" s="11">
        <f>_xlfn.XLOOKUP(E245,ICMS!C:C,ICMS!D:D)</f>
        <v>0.17</v>
      </c>
      <c r="O245" s="36">
        <f t="shared" si="10"/>
        <v>244</v>
      </c>
      <c r="P245" s="36"/>
      <c r="Q245" s="36" t="s">
        <v>140</v>
      </c>
      <c r="R245" s="40" t="s">
        <v>150</v>
      </c>
      <c r="S245" s="39" t="s">
        <v>163</v>
      </c>
    </row>
    <row r="246" spans="1:19" s="35" customFormat="1" x14ac:dyDescent="0.3">
      <c r="A246" s="33" t="s">
        <v>15</v>
      </c>
      <c r="B246" s="34" t="s">
        <v>71</v>
      </c>
      <c r="C246" s="35" t="s">
        <v>46</v>
      </c>
      <c r="D246" s="36">
        <v>9</v>
      </c>
      <c r="E246" s="36" t="s">
        <v>71</v>
      </c>
      <c r="F246" s="36" t="s">
        <v>77</v>
      </c>
      <c r="G246" s="36" t="s">
        <v>21</v>
      </c>
      <c r="H246" s="24">
        <f t="shared" si="11"/>
        <v>1500030.007</v>
      </c>
      <c r="I246" s="24">
        <v>3000029.997</v>
      </c>
      <c r="J246" s="27">
        <v>2.5819000000000001</v>
      </c>
      <c r="K246" s="37">
        <v>0</v>
      </c>
      <c r="L246" s="38">
        <v>46143</v>
      </c>
      <c r="M246" s="12">
        <v>9.2499999999999999E-2</v>
      </c>
      <c r="N246" s="11">
        <f>_xlfn.XLOOKUP(E246,ICMS!C:C,ICMS!D:D)</f>
        <v>0.17</v>
      </c>
      <c r="O246" s="36">
        <f t="shared" si="10"/>
        <v>245</v>
      </c>
      <c r="P246" s="36"/>
      <c r="Q246" s="36" t="s">
        <v>140</v>
      </c>
      <c r="R246" s="40" t="s">
        <v>150</v>
      </c>
      <c r="S246" s="39" t="s">
        <v>163</v>
      </c>
    </row>
    <row r="247" spans="1:19" s="35" customFormat="1" x14ac:dyDescent="0.3">
      <c r="A247" s="33" t="s">
        <v>15</v>
      </c>
      <c r="B247" s="34" t="s">
        <v>71</v>
      </c>
      <c r="C247" s="35" t="s">
        <v>46</v>
      </c>
      <c r="D247" s="36">
        <v>10</v>
      </c>
      <c r="E247" s="36" t="s">
        <v>71</v>
      </c>
      <c r="F247" s="36" t="s">
        <v>77</v>
      </c>
      <c r="G247" s="36" t="s">
        <v>21</v>
      </c>
      <c r="H247" s="24">
        <f t="shared" si="11"/>
        <v>3000030.0069999998</v>
      </c>
      <c r="I247" s="24">
        <v>6000029.9969999995</v>
      </c>
      <c r="J247" s="27">
        <v>2.5569999999999999</v>
      </c>
      <c r="K247" s="37">
        <v>0</v>
      </c>
      <c r="L247" s="38">
        <v>46143</v>
      </c>
      <c r="M247" s="12">
        <v>9.2499999999999999E-2</v>
      </c>
      <c r="N247" s="11">
        <f>_xlfn.XLOOKUP(E247,ICMS!C:C,ICMS!D:D)</f>
        <v>0.17</v>
      </c>
      <c r="O247" s="36">
        <f t="shared" si="10"/>
        <v>246</v>
      </c>
      <c r="P247" s="36"/>
      <c r="Q247" s="36" t="s">
        <v>140</v>
      </c>
      <c r="R247" s="40" t="s">
        <v>150</v>
      </c>
      <c r="S247" s="39" t="s">
        <v>163</v>
      </c>
    </row>
    <row r="248" spans="1:19" s="35" customFormat="1" x14ac:dyDescent="0.3">
      <c r="A248" s="33" t="s">
        <v>15</v>
      </c>
      <c r="B248" s="34" t="s">
        <v>71</v>
      </c>
      <c r="C248" s="35" t="s">
        <v>46</v>
      </c>
      <c r="D248" s="36">
        <v>11</v>
      </c>
      <c r="E248" s="36" t="s">
        <v>71</v>
      </c>
      <c r="F248" s="36" t="s">
        <v>77</v>
      </c>
      <c r="G248" s="36" t="s">
        <v>21</v>
      </c>
      <c r="H248" s="24">
        <f t="shared" si="11"/>
        <v>6000030.0069999993</v>
      </c>
      <c r="I248" s="24">
        <v>9000029.9969999995</v>
      </c>
      <c r="J248" s="27">
        <v>2.5425</v>
      </c>
      <c r="K248" s="37">
        <v>0</v>
      </c>
      <c r="L248" s="38">
        <v>46143</v>
      </c>
      <c r="M248" s="12">
        <v>9.2499999999999999E-2</v>
      </c>
      <c r="N248" s="11">
        <f>_xlfn.XLOOKUP(E248,ICMS!C:C,ICMS!D:D)</f>
        <v>0.17</v>
      </c>
      <c r="O248" s="36">
        <f t="shared" si="10"/>
        <v>247</v>
      </c>
      <c r="P248" s="36"/>
      <c r="Q248" s="36" t="s">
        <v>140</v>
      </c>
      <c r="R248" s="40" t="s">
        <v>150</v>
      </c>
      <c r="S248" s="39" t="s">
        <v>163</v>
      </c>
    </row>
    <row r="249" spans="1:19" s="35" customFormat="1" x14ac:dyDescent="0.3">
      <c r="A249" s="33" t="s">
        <v>15</v>
      </c>
      <c r="B249" s="34" t="s">
        <v>71</v>
      </c>
      <c r="C249" s="35" t="s">
        <v>46</v>
      </c>
      <c r="D249" s="36">
        <v>12</v>
      </c>
      <c r="E249" s="36" t="s">
        <v>71</v>
      </c>
      <c r="F249" s="36" t="s">
        <v>77</v>
      </c>
      <c r="G249" s="36" t="s">
        <v>21</v>
      </c>
      <c r="H249" s="24">
        <f t="shared" si="11"/>
        <v>9000030.0069999993</v>
      </c>
      <c r="I249" s="24">
        <v>99999999999</v>
      </c>
      <c r="J249" s="27">
        <v>2.5341999999999998</v>
      </c>
      <c r="K249" s="37">
        <v>0</v>
      </c>
      <c r="L249" s="38">
        <v>46143</v>
      </c>
      <c r="M249" s="12">
        <v>9.2499999999999999E-2</v>
      </c>
      <c r="N249" s="11">
        <f>_xlfn.XLOOKUP(E249,ICMS!C:C,ICMS!D:D)</f>
        <v>0.17</v>
      </c>
      <c r="O249" s="36">
        <f t="shared" si="10"/>
        <v>248</v>
      </c>
      <c r="P249" s="36"/>
      <c r="Q249" s="36" t="s">
        <v>140</v>
      </c>
      <c r="R249" s="40" t="s">
        <v>150</v>
      </c>
      <c r="S249" s="39" t="s">
        <v>163</v>
      </c>
    </row>
    <row r="250" spans="1:19" x14ac:dyDescent="0.3">
      <c r="A250" s="33" t="s">
        <v>13</v>
      </c>
      <c r="B250" s="34" t="s">
        <v>70</v>
      </c>
      <c r="C250" s="35" t="s">
        <v>46</v>
      </c>
      <c r="D250" s="36">
        <v>1</v>
      </c>
      <c r="E250" s="36" t="s">
        <v>70</v>
      </c>
      <c r="F250" s="36" t="s">
        <v>110</v>
      </c>
      <c r="G250" s="36" t="s">
        <v>109</v>
      </c>
      <c r="H250" s="24">
        <v>0</v>
      </c>
      <c r="I250" s="24">
        <v>22000</v>
      </c>
      <c r="J250" s="27">
        <v>2.9100999999999999</v>
      </c>
      <c r="K250" s="37">
        <v>0</v>
      </c>
      <c r="L250" s="38">
        <v>46113</v>
      </c>
      <c r="M250" s="12">
        <v>9.2499999999999999E-2</v>
      </c>
      <c r="N250" s="11">
        <f>_xlfn.XLOOKUP(E250,ICMS!C:C,ICMS!D:D)</f>
        <v>0.17</v>
      </c>
      <c r="O250" s="36">
        <f t="shared" si="10"/>
        <v>249</v>
      </c>
      <c r="P250" s="10"/>
      <c r="Q250" s="10" t="s">
        <v>139</v>
      </c>
      <c r="R250" s="28" t="s">
        <v>151</v>
      </c>
      <c r="S250" s="26" t="s">
        <v>173</v>
      </c>
    </row>
    <row r="251" spans="1:19" x14ac:dyDescent="0.3">
      <c r="A251" s="33" t="s">
        <v>13</v>
      </c>
      <c r="B251" s="34" t="s">
        <v>70</v>
      </c>
      <c r="C251" s="35" t="s">
        <v>46</v>
      </c>
      <c r="D251" s="36">
        <v>2</v>
      </c>
      <c r="E251" s="36" t="s">
        <v>70</v>
      </c>
      <c r="F251" s="36" t="s">
        <v>110</v>
      </c>
      <c r="G251" s="36" t="s">
        <v>109</v>
      </c>
      <c r="H251" s="24">
        <f t="shared" si="11"/>
        <v>22000.01</v>
      </c>
      <c r="I251" s="24">
        <v>200000</v>
      </c>
      <c r="J251" s="27">
        <v>2.8632</v>
      </c>
      <c r="K251" s="37">
        <v>0</v>
      </c>
      <c r="L251" s="38">
        <v>46113</v>
      </c>
      <c r="M251" s="12">
        <v>9.2499999999999999E-2</v>
      </c>
      <c r="N251" s="11">
        <f>_xlfn.XLOOKUP(E251,ICMS!C:C,ICMS!D:D)</f>
        <v>0.17</v>
      </c>
      <c r="O251" s="36">
        <f t="shared" si="10"/>
        <v>250</v>
      </c>
      <c r="P251" s="10"/>
      <c r="Q251" s="10" t="s">
        <v>139</v>
      </c>
      <c r="R251" s="28" t="s">
        <v>151</v>
      </c>
      <c r="S251" s="26" t="s">
        <v>173</v>
      </c>
    </row>
    <row r="252" spans="1:19" x14ac:dyDescent="0.3">
      <c r="A252" s="33" t="s">
        <v>13</v>
      </c>
      <c r="B252" s="34" t="s">
        <v>70</v>
      </c>
      <c r="C252" s="35" t="s">
        <v>46</v>
      </c>
      <c r="D252" s="36">
        <v>3</v>
      </c>
      <c r="E252" s="36" t="s">
        <v>70</v>
      </c>
      <c r="F252" s="36" t="s">
        <v>110</v>
      </c>
      <c r="G252" s="36" t="s">
        <v>109</v>
      </c>
      <c r="H252" s="24">
        <f t="shared" si="11"/>
        <v>200000.01</v>
      </c>
      <c r="I252" s="24">
        <v>1000000</v>
      </c>
      <c r="J252" s="27">
        <v>2.6425999999999998</v>
      </c>
      <c r="K252" s="37">
        <v>0</v>
      </c>
      <c r="L252" s="38">
        <v>46113</v>
      </c>
      <c r="M252" s="12">
        <v>9.2499999999999999E-2</v>
      </c>
      <c r="N252" s="11">
        <f>_xlfn.XLOOKUP(E252,ICMS!C:C,ICMS!D:D)</f>
        <v>0.17</v>
      </c>
      <c r="O252" s="36">
        <f t="shared" si="10"/>
        <v>251</v>
      </c>
      <c r="P252" s="10"/>
      <c r="Q252" s="10" t="s">
        <v>139</v>
      </c>
      <c r="R252" s="28" t="s">
        <v>151</v>
      </c>
      <c r="S252" s="26" t="s">
        <v>173</v>
      </c>
    </row>
    <row r="253" spans="1:19" x14ac:dyDescent="0.3">
      <c r="A253" s="33" t="s">
        <v>13</v>
      </c>
      <c r="B253" s="34" t="s">
        <v>70</v>
      </c>
      <c r="C253" s="35" t="s">
        <v>46</v>
      </c>
      <c r="D253" s="36">
        <v>4</v>
      </c>
      <c r="E253" s="36" t="s">
        <v>70</v>
      </c>
      <c r="F253" s="36" t="s">
        <v>110</v>
      </c>
      <c r="G253" s="36" t="s">
        <v>109</v>
      </c>
      <c r="H253" s="24">
        <f t="shared" si="11"/>
        <v>1000000.01</v>
      </c>
      <c r="I253" s="24">
        <v>99999999999</v>
      </c>
      <c r="J253" s="27">
        <v>2.4942000000000002</v>
      </c>
      <c r="K253" s="37">
        <v>0</v>
      </c>
      <c r="L253" s="38">
        <v>46113</v>
      </c>
      <c r="M253" s="12">
        <v>9.2499999999999999E-2</v>
      </c>
      <c r="N253" s="11">
        <f>_xlfn.XLOOKUP(E253,ICMS!C:C,ICMS!D:D)</f>
        <v>0.17</v>
      </c>
      <c r="O253" s="36">
        <f t="shared" si="10"/>
        <v>252</v>
      </c>
      <c r="P253" s="10"/>
      <c r="Q253" s="10" t="s">
        <v>139</v>
      </c>
      <c r="R253" s="28" t="s">
        <v>151</v>
      </c>
      <c r="S253" s="26" t="s">
        <v>173</v>
      </c>
    </row>
    <row r="254" spans="1:19" x14ac:dyDescent="0.3">
      <c r="A254" s="33" t="s">
        <v>15</v>
      </c>
      <c r="B254" s="34" t="s">
        <v>70</v>
      </c>
      <c r="C254" s="35" t="s">
        <v>46</v>
      </c>
      <c r="D254" s="36">
        <v>1</v>
      </c>
      <c r="E254" s="36" t="s">
        <v>70</v>
      </c>
      <c r="F254" s="36" t="s">
        <v>110</v>
      </c>
      <c r="G254" s="36" t="s">
        <v>109</v>
      </c>
      <c r="H254" s="24">
        <v>0</v>
      </c>
      <c r="I254" s="24">
        <v>22000</v>
      </c>
      <c r="J254" s="27">
        <v>2.9100999999999999</v>
      </c>
      <c r="K254" s="37">
        <v>0</v>
      </c>
      <c r="L254" s="38">
        <v>46113</v>
      </c>
      <c r="M254" s="12">
        <v>9.2499999999999999E-2</v>
      </c>
      <c r="N254" s="11">
        <f>_xlfn.XLOOKUP(E254,ICMS!C:C,ICMS!D:D)</f>
        <v>0.17</v>
      </c>
      <c r="O254" s="36">
        <f t="shared" si="10"/>
        <v>253</v>
      </c>
      <c r="P254" s="10"/>
      <c r="Q254" s="10" t="s">
        <v>139</v>
      </c>
      <c r="R254" s="28" t="s">
        <v>151</v>
      </c>
      <c r="S254" s="26" t="s">
        <v>173</v>
      </c>
    </row>
    <row r="255" spans="1:19" x14ac:dyDescent="0.3">
      <c r="A255" s="33" t="s">
        <v>15</v>
      </c>
      <c r="B255" s="34" t="s">
        <v>70</v>
      </c>
      <c r="C255" s="35" t="s">
        <v>46</v>
      </c>
      <c r="D255" s="36">
        <v>2</v>
      </c>
      <c r="E255" s="36" t="s">
        <v>70</v>
      </c>
      <c r="F255" s="36" t="s">
        <v>110</v>
      </c>
      <c r="G255" s="36" t="s">
        <v>109</v>
      </c>
      <c r="H255" s="24">
        <f t="shared" si="11"/>
        <v>22000.01</v>
      </c>
      <c r="I255" s="24">
        <v>200000</v>
      </c>
      <c r="J255" s="27">
        <v>2.8632</v>
      </c>
      <c r="K255" s="37">
        <v>0</v>
      </c>
      <c r="L255" s="38">
        <v>46113</v>
      </c>
      <c r="M255" s="12">
        <v>9.2499999999999999E-2</v>
      </c>
      <c r="N255" s="11">
        <f>_xlfn.XLOOKUP(E255,ICMS!C:C,ICMS!D:D)</f>
        <v>0.17</v>
      </c>
      <c r="O255" s="36">
        <f t="shared" si="10"/>
        <v>254</v>
      </c>
      <c r="P255" s="10"/>
      <c r="Q255" s="10" t="s">
        <v>139</v>
      </c>
      <c r="R255" s="28" t="s">
        <v>151</v>
      </c>
      <c r="S255" s="26" t="s">
        <v>173</v>
      </c>
    </row>
    <row r="256" spans="1:19" x14ac:dyDescent="0.3">
      <c r="A256" s="33" t="s">
        <v>15</v>
      </c>
      <c r="B256" s="34" t="s">
        <v>70</v>
      </c>
      <c r="C256" s="35" t="s">
        <v>46</v>
      </c>
      <c r="D256" s="36">
        <v>3</v>
      </c>
      <c r="E256" s="36" t="s">
        <v>70</v>
      </c>
      <c r="F256" s="36" t="s">
        <v>110</v>
      </c>
      <c r="G256" s="36" t="s">
        <v>109</v>
      </c>
      <c r="H256" s="24">
        <f t="shared" si="11"/>
        <v>200000.01</v>
      </c>
      <c r="I256" s="24">
        <v>1000000</v>
      </c>
      <c r="J256" s="27">
        <v>2.6425999999999998</v>
      </c>
      <c r="K256" s="37">
        <v>0</v>
      </c>
      <c r="L256" s="38">
        <v>46113</v>
      </c>
      <c r="M256" s="12">
        <v>9.2499999999999999E-2</v>
      </c>
      <c r="N256" s="11">
        <f>_xlfn.XLOOKUP(E256,ICMS!C:C,ICMS!D:D)</f>
        <v>0.17</v>
      </c>
      <c r="O256" s="36">
        <f t="shared" si="10"/>
        <v>255</v>
      </c>
      <c r="P256" s="10"/>
      <c r="Q256" s="10" t="s">
        <v>139</v>
      </c>
      <c r="R256" s="28" t="s">
        <v>151</v>
      </c>
      <c r="S256" s="26" t="s">
        <v>173</v>
      </c>
    </row>
    <row r="257" spans="1:19" x14ac:dyDescent="0.3">
      <c r="A257" s="33" t="s">
        <v>15</v>
      </c>
      <c r="B257" s="34" t="s">
        <v>70</v>
      </c>
      <c r="C257" s="35" t="s">
        <v>46</v>
      </c>
      <c r="D257" s="36">
        <v>4</v>
      </c>
      <c r="E257" s="36" t="s">
        <v>70</v>
      </c>
      <c r="F257" s="36" t="s">
        <v>110</v>
      </c>
      <c r="G257" s="36" t="s">
        <v>109</v>
      </c>
      <c r="H257" s="24">
        <f t="shared" si="11"/>
        <v>1000000.01</v>
      </c>
      <c r="I257" s="24">
        <v>99999999999</v>
      </c>
      <c r="J257" s="27">
        <v>2.4942000000000002</v>
      </c>
      <c r="K257" s="37">
        <v>0</v>
      </c>
      <c r="L257" s="38">
        <v>46113</v>
      </c>
      <c r="M257" s="12">
        <v>9.2499999999999999E-2</v>
      </c>
      <c r="N257" s="11">
        <f>_xlfn.XLOOKUP(E257,ICMS!C:C,ICMS!D:D)</f>
        <v>0.17</v>
      </c>
      <c r="O257" s="36">
        <f t="shared" si="10"/>
        <v>256</v>
      </c>
      <c r="P257" s="10"/>
      <c r="Q257" s="10" t="s">
        <v>139</v>
      </c>
      <c r="R257" s="28" t="s">
        <v>151</v>
      </c>
      <c r="S257" s="26" t="s">
        <v>173</v>
      </c>
    </row>
    <row r="258" spans="1:19" x14ac:dyDescent="0.3">
      <c r="A258" s="33" t="s">
        <v>18</v>
      </c>
      <c r="B258" s="34" t="s">
        <v>70</v>
      </c>
      <c r="C258" s="35" t="s">
        <v>46</v>
      </c>
      <c r="D258" s="36">
        <v>1</v>
      </c>
      <c r="E258" s="36" t="s">
        <v>70</v>
      </c>
      <c r="F258" s="36" t="s">
        <v>110</v>
      </c>
      <c r="G258" s="36" t="s">
        <v>17</v>
      </c>
      <c r="H258" s="24">
        <v>0</v>
      </c>
      <c r="I258" s="24">
        <v>99999999999</v>
      </c>
      <c r="J258" s="27">
        <v>3.3883999999999999</v>
      </c>
      <c r="K258" s="37">
        <v>0</v>
      </c>
      <c r="L258" s="38">
        <v>46113</v>
      </c>
      <c r="M258" s="12">
        <v>9.2499999999999999E-2</v>
      </c>
      <c r="N258" s="11">
        <f>_xlfn.XLOOKUP(E258,ICMS!C:C,ICMS!D:D)</f>
        <v>0.17</v>
      </c>
      <c r="O258" s="36">
        <f t="shared" si="10"/>
        <v>257</v>
      </c>
      <c r="P258" s="10"/>
      <c r="Q258" s="10" t="s">
        <v>139</v>
      </c>
      <c r="R258" s="28" t="s">
        <v>151</v>
      </c>
      <c r="S258" s="26" t="s">
        <v>173</v>
      </c>
    </row>
    <row r="259" spans="1:19" x14ac:dyDescent="0.3">
      <c r="A259" s="33" t="s">
        <v>8</v>
      </c>
      <c r="B259" s="34" t="s">
        <v>70</v>
      </c>
      <c r="C259" s="35" t="s">
        <v>46</v>
      </c>
      <c r="D259" s="36">
        <v>1</v>
      </c>
      <c r="E259" s="36" t="s">
        <v>70</v>
      </c>
      <c r="F259" s="36" t="s">
        <v>110</v>
      </c>
      <c r="G259" s="36" t="s">
        <v>17</v>
      </c>
      <c r="H259" s="24">
        <v>0</v>
      </c>
      <c r="I259" s="24">
        <v>99999999999</v>
      </c>
      <c r="J259" s="27">
        <v>3.3883999999999999</v>
      </c>
      <c r="K259" s="37">
        <v>0</v>
      </c>
      <c r="L259" s="38">
        <v>46113</v>
      </c>
      <c r="M259" s="12">
        <v>9.2499999999999999E-2</v>
      </c>
      <c r="N259" s="11">
        <f>_xlfn.XLOOKUP(E259,ICMS!C:C,ICMS!D:D)</f>
        <v>0.17</v>
      </c>
      <c r="O259" s="36">
        <f t="shared" si="10"/>
        <v>258</v>
      </c>
      <c r="P259" s="10"/>
      <c r="Q259" s="10" t="s">
        <v>139</v>
      </c>
      <c r="R259" s="28" t="s">
        <v>151</v>
      </c>
      <c r="S259" s="26" t="s">
        <v>173</v>
      </c>
    </row>
    <row r="260" spans="1:19" x14ac:dyDescent="0.3">
      <c r="A260" s="33" t="s">
        <v>15</v>
      </c>
      <c r="B260" s="34" t="s">
        <v>54</v>
      </c>
      <c r="C260" s="35" t="s">
        <v>46</v>
      </c>
      <c r="D260" s="36">
        <v>1</v>
      </c>
      <c r="E260" s="36" t="s">
        <v>54</v>
      </c>
      <c r="F260" s="36" t="s">
        <v>117</v>
      </c>
      <c r="G260" s="36" t="s">
        <v>21</v>
      </c>
      <c r="H260" s="24">
        <v>0</v>
      </c>
      <c r="I260" s="24">
        <v>6000</v>
      </c>
      <c r="J260" s="27">
        <v>3.5745</v>
      </c>
      <c r="K260" s="37">
        <v>0</v>
      </c>
      <c r="L260" s="38">
        <v>46204</v>
      </c>
      <c r="M260" s="12">
        <v>9.2499999999999999E-2</v>
      </c>
      <c r="N260" s="11">
        <f>_xlfn.XLOOKUP(E260,ICMS!C:C,ICMS!D:D)</f>
        <v>0.2</v>
      </c>
      <c r="O260" s="36">
        <f t="shared" ref="O260:O323" si="12">1+O259</f>
        <v>259</v>
      </c>
      <c r="P260" s="10"/>
      <c r="Q260" s="10" t="s">
        <v>139</v>
      </c>
      <c r="R260" s="28" t="s">
        <v>152</v>
      </c>
      <c r="S260" s="26" t="s">
        <v>174</v>
      </c>
    </row>
    <row r="261" spans="1:19" x14ac:dyDescent="0.3">
      <c r="A261" s="33" t="s">
        <v>15</v>
      </c>
      <c r="B261" s="34" t="s">
        <v>54</v>
      </c>
      <c r="C261" s="35" t="s">
        <v>46</v>
      </c>
      <c r="D261" s="36">
        <v>2</v>
      </c>
      <c r="E261" s="36" t="s">
        <v>54</v>
      </c>
      <c r="F261" s="36" t="s">
        <v>117</v>
      </c>
      <c r="G261" s="36" t="s">
        <v>21</v>
      </c>
      <c r="H261" s="24">
        <f t="shared" ref="H261:H279" si="13">I260+0.01</f>
        <v>6000.01</v>
      </c>
      <c r="I261" s="24">
        <v>15000</v>
      </c>
      <c r="J261" s="27">
        <v>3.4535</v>
      </c>
      <c r="K261" s="37">
        <v>0</v>
      </c>
      <c r="L261" s="38">
        <v>46204</v>
      </c>
      <c r="M261" s="12">
        <v>9.2499999999999999E-2</v>
      </c>
      <c r="N261" s="11">
        <f>_xlfn.XLOOKUP(E261,ICMS!C:C,ICMS!D:D)</f>
        <v>0.2</v>
      </c>
      <c r="O261" s="36">
        <f t="shared" si="12"/>
        <v>260</v>
      </c>
      <c r="P261" s="10"/>
      <c r="Q261" s="10" t="s">
        <v>139</v>
      </c>
      <c r="R261" s="28" t="s">
        <v>152</v>
      </c>
      <c r="S261" s="26" t="s">
        <v>174</v>
      </c>
    </row>
    <row r="262" spans="1:19" x14ac:dyDescent="0.3">
      <c r="A262" s="33" t="s">
        <v>15</v>
      </c>
      <c r="B262" s="34" t="s">
        <v>54</v>
      </c>
      <c r="C262" s="35" t="s">
        <v>46</v>
      </c>
      <c r="D262" s="36">
        <v>3</v>
      </c>
      <c r="E262" s="36" t="s">
        <v>54</v>
      </c>
      <c r="F262" s="36" t="s">
        <v>117</v>
      </c>
      <c r="G262" s="36" t="s">
        <v>21</v>
      </c>
      <c r="H262" s="24">
        <f t="shared" si="13"/>
        <v>15000.01</v>
      </c>
      <c r="I262" s="24">
        <v>30000</v>
      </c>
      <c r="J262" s="27">
        <v>3.3342000000000001</v>
      </c>
      <c r="K262" s="37">
        <v>0</v>
      </c>
      <c r="L262" s="38">
        <v>46204</v>
      </c>
      <c r="M262" s="12">
        <v>9.2499999999999999E-2</v>
      </c>
      <c r="N262" s="11">
        <f>_xlfn.XLOOKUP(E262,ICMS!C:C,ICMS!D:D)</f>
        <v>0.2</v>
      </c>
      <c r="O262" s="36">
        <f t="shared" si="12"/>
        <v>261</v>
      </c>
      <c r="P262" s="10"/>
      <c r="Q262" s="10" t="s">
        <v>139</v>
      </c>
      <c r="R262" s="28" t="s">
        <v>152</v>
      </c>
      <c r="S262" s="26" t="s">
        <v>174</v>
      </c>
    </row>
    <row r="263" spans="1:19" x14ac:dyDescent="0.3">
      <c r="A263" s="33" t="s">
        <v>15</v>
      </c>
      <c r="B263" s="34" t="s">
        <v>54</v>
      </c>
      <c r="C263" s="35" t="s">
        <v>46</v>
      </c>
      <c r="D263" s="36">
        <v>4</v>
      </c>
      <c r="E263" s="36" t="s">
        <v>54</v>
      </c>
      <c r="F263" s="36" t="s">
        <v>117</v>
      </c>
      <c r="G263" s="36" t="s">
        <v>21</v>
      </c>
      <c r="H263" s="24">
        <f t="shared" si="13"/>
        <v>30000.01</v>
      </c>
      <c r="I263" s="24">
        <v>60000</v>
      </c>
      <c r="J263" s="27">
        <v>3.2183999999999999</v>
      </c>
      <c r="K263" s="37">
        <v>0</v>
      </c>
      <c r="L263" s="38">
        <v>46204</v>
      </c>
      <c r="M263" s="12">
        <v>9.2499999999999999E-2</v>
      </c>
      <c r="N263" s="11">
        <f>_xlfn.XLOOKUP(E263,ICMS!C:C,ICMS!D:D)</f>
        <v>0.2</v>
      </c>
      <c r="O263" s="36">
        <f t="shared" si="12"/>
        <v>262</v>
      </c>
      <c r="P263" s="10"/>
      <c r="Q263" s="10" t="s">
        <v>139</v>
      </c>
      <c r="R263" s="28" t="s">
        <v>152</v>
      </c>
      <c r="S263" s="26" t="s">
        <v>174</v>
      </c>
    </row>
    <row r="264" spans="1:19" x14ac:dyDescent="0.3">
      <c r="A264" s="33" t="s">
        <v>15</v>
      </c>
      <c r="B264" s="34" t="s">
        <v>54</v>
      </c>
      <c r="C264" s="35" t="s">
        <v>46</v>
      </c>
      <c r="D264" s="36">
        <v>5</v>
      </c>
      <c r="E264" s="36" t="s">
        <v>54</v>
      </c>
      <c r="F264" s="36" t="s">
        <v>117</v>
      </c>
      <c r="G264" s="36" t="s">
        <v>21</v>
      </c>
      <c r="H264" s="24">
        <f t="shared" si="13"/>
        <v>60000.01</v>
      </c>
      <c r="I264" s="24">
        <v>150000</v>
      </c>
      <c r="J264" s="27">
        <v>3.0905</v>
      </c>
      <c r="K264" s="37">
        <v>0</v>
      </c>
      <c r="L264" s="38">
        <v>46204</v>
      </c>
      <c r="M264" s="12">
        <v>9.2499999999999999E-2</v>
      </c>
      <c r="N264" s="11">
        <f>_xlfn.XLOOKUP(E264,ICMS!C:C,ICMS!D:D)</f>
        <v>0.2</v>
      </c>
      <c r="O264" s="36">
        <f t="shared" si="12"/>
        <v>263</v>
      </c>
      <c r="P264" s="10"/>
      <c r="Q264" s="10" t="s">
        <v>139</v>
      </c>
      <c r="R264" s="28" t="s">
        <v>152</v>
      </c>
      <c r="S264" s="26" t="s">
        <v>174</v>
      </c>
    </row>
    <row r="265" spans="1:19" x14ac:dyDescent="0.3">
      <c r="A265" s="33" t="s">
        <v>15</v>
      </c>
      <c r="B265" s="34" t="s">
        <v>54</v>
      </c>
      <c r="C265" s="35" t="s">
        <v>46</v>
      </c>
      <c r="D265" s="36">
        <v>6</v>
      </c>
      <c r="E265" s="36" t="s">
        <v>54</v>
      </c>
      <c r="F265" s="36" t="s">
        <v>117</v>
      </c>
      <c r="G265" s="36" t="s">
        <v>21</v>
      </c>
      <c r="H265" s="24">
        <f t="shared" si="13"/>
        <v>150000.01</v>
      </c>
      <c r="I265" s="24">
        <v>300000</v>
      </c>
      <c r="J265" s="27">
        <v>2.96</v>
      </c>
      <c r="K265" s="37">
        <v>0</v>
      </c>
      <c r="L265" s="38">
        <v>46204</v>
      </c>
      <c r="M265" s="12">
        <v>9.2499999999999999E-2</v>
      </c>
      <c r="N265" s="11">
        <f>_xlfn.XLOOKUP(E265,ICMS!C:C,ICMS!D:D)</f>
        <v>0.2</v>
      </c>
      <c r="O265" s="36">
        <f t="shared" si="12"/>
        <v>264</v>
      </c>
      <c r="P265" s="10"/>
      <c r="Q265" s="10" t="s">
        <v>139</v>
      </c>
      <c r="R265" s="28" t="s">
        <v>152</v>
      </c>
      <c r="S265" s="26" t="s">
        <v>174</v>
      </c>
    </row>
    <row r="266" spans="1:19" x14ac:dyDescent="0.3">
      <c r="A266" s="33" t="s">
        <v>15</v>
      </c>
      <c r="B266" s="34" t="s">
        <v>54</v>
      </c>
      <c r="C266" s="35" t="s">
        <v>46</v>
      </c>
      <c r="D266" s="36">
        <v>7</v>
      </c>
      <c r="E266" s="36" t="s">
        <v>54</v>
      </c>
      <c r="F266" s="36" t="s">
        <v>117</v>
      </c>
      <c r="G266" s="36" t="s">
        <v>21</v>
      </c>
      <c r="H266" s="24">
        <f t="shared" si="13"/>
        <v>300000.01</v>
      </c>
      <c r="I266" s="24">
        <v>600000</v>
      </c>
      <c r="J266" s="27">
        <v>2.8412999999999999</v>
      </c>
      <c r="K266" s="37">
        <v>0</v>
      </c>
      <c r="L266" s="38">
        <v>46204</v>
      </c>
      <c r="M266" s="12">
        <v>9.2499999999999999E-2</v>
      </c>
      <c r="N266" s="11">
        <f>_xlfn.XLOOKUP(E266,ICMS!C:C,ICMS!D:D)</f>
        <v>0.2</v>
      </c>
      <c r="O266" s="36">
        <f t="shared" si="12"/>
        <v>265</v>
      </c>
      <c r="P266" s="10"/>
      <c r="Q266" s="10" t="s">
        <v>139</v>
      </c>
      <c r="R266" s="28" t="s">
        <v>152</v>
      </c>
      <c r="S266" s="26" t="s">
        <v>174</v>
      </c>
    </row>
    <row r="267" spans="1:19" x14ac:dyDescent="0.3">
      <c r="A267" s="33" t="s">
        <v>15</v>
      </c>
      <c r="B267" s="34" t="s">
        <v>54</v>
      </c>
      <c r="C267" s="35" t="s">
        <v>46</v>
      </c>
      <c r="D267" s="36">
        <v>8</v>
      </c>
      <c r="E267" s="36" t="s">
        <v>54</v>
      </c>
      <c r="F267" s="36" t="s">
        <v>117</v>
      </c>
      <c r="G267" s="36" t="s">
        <v>21</v>
      </c>
      <c r="H267" s="24">
        <f t="shared" si="13"/>
        <v>600000.01</v>
      </c>
      <c r="I267" s="24">
        <v>1500000</v>
      </c>
      <c r="J267" s="27">
        <v>2.7465999999999999</v>
      </c>
      <c r="K267" s="37">
        <v>0</v>
      </c>
      <c r="L267" s="38">
        <v>46204</v>
      </c>
      <c r="M267" s="12">
        <v>9.2499999999999999E-2</v>
      </c>
      <c r="N267" s="11">
        <f>_xlfn.XLOOKUP(E267,ICMS!C:C,ICMS!D:D)</f>
        <v>0.2</v>
      </c>
      <c r="O267" s="36">
        <f t="shared" si="12"/>
        <v>266</v>
      </c>
      <c r="P267" s="10"/>
      <c r="Q267" s="10" t="s">
        <v>139</v>
      </c>
      <c r="R267" s="28" t="s">
        <v>152</v>
      </c>
      <c r="S267" s="26" t="s">
        <v>174</v>
      </c>
    </row>
    <row r="268" spans="1:19" x14ac:dyDescent="0.3">
      <c r="A268" s="33" t="s">
        <v>15</v>
      </c>
      <c r="B268" s="34" t="s">
        <v>54</v>
      </c>
      <c r="C268" s="35" t="s">
        <v>46</v>
      </c>
      <c r="D268" s="36">
        <v>9</v>
      </c>
      <c r="E268" s="36" t="s">
        <v>54</v>
      </c>
      <c r="F268" s="36" t="s">
        <v>117</v>
      </c>
      <c r="G268" s="36" t="s">
        <v>21</v>
      </c>
      <c r="H268" s="24">
        <f t="shared" si="13"/>
        <v>1500000.01</v>
      </c>
      <c r="I268" s="24">
        <v>3000000</v>
      </c>
      <c r="J268" s="27">
        <v>2.6516000000000002</v>
      </c>
      <c r="K268" s="37">
        <v>0</v>
      </c>
      <c r="L268" s="38">
        <v>46204</v>
      </c>
      <c r="M268" s="12">
        <v>9.2499999999999999E-2</v>
      </c>
      <c r="N268" s="11">
        <f>_xlfn.XLOOKUP(E268,ICMS!C:C,ICMS!D:D)</f>
        <v>0.2</v>
      </c>
      <c r="O268" s="36">
        <f t="shared" si="12"/>
        <v>267</v>
      </c>
      <c r="P268" s="10"/>
      <c r="Q268" s="10" t="s">
        <v>139</v>
      </c>
      <c r="R268" s="28" t="s">
        <v>152</v>
      </c>
      <c r="S268" s="26" t="s">
        <v>174</v>
      </c>
    </row>
    <row r="269" spans="1:19" x14ac:dyDescent="0.3">
      <c r="A269" s="33" t="s">
        <v>15</v>
      </c>
      <c r="B269" s="34" t="s">
        <v>54</v>
      </c>
      <c r="C269" s="35" t="s">
        <v>46</v>
      </c>
      <c r="D269" s="36">
        <v>10</v>
      </c>
      <c r="E269" s="36" t="s">
        <v>54</v>
      </c>
      <c r="F269" s="36" t="s">
        <v>117</v>
      </c>
      <c r="G269" s="36" t="s">
        <v>21</v>
      </c>
      <c r="H269" s="24">
        <f t="shared" si="13"/>
        <v>3000000.01</v>
      </c>
      <c r="I269" s="24">
        <v>99999999999</v>
      </c>
      <c r="J269" s="27">
        <v>2.5564</v>
      </c>
      <c r="K269" s="37">
        <v>0</v>
      </c>
      <c r="L269" s="38">
        <v>46204</v>
      </c>
      <c r="M269" s="12">
        <v>9.2499999999999999E-2</v>
      </c>
      <c r="N269" s="11">
        <f>_xlfn.XLOOKUP(E269,ICMS!C:C,ICMS!D:D)</f>
        <v>0.2</v>
      </c>
      <c r="O269" s="36">
        <f t="shared" si="12"/>
        <v>268</v>
      </c>
      <c r="P269" s="10"/>
      <c r="Q269" s="10" t="s">
        <v>139</v>
      </c>
      <c r="R269" s="28" t="s">
        <v>152</v>
      </c>
      <c r="S269" s="26" t="s">
        <v>174</v>
      </c>
    </row>
    <row r="270" spans="1:19" x14ac:dyDescent="0.3">
      <c r="A270" s="33" t="s">
        <v>13</v>
      </c>
      <c r="B270" s="34" t="s">
        <v>54</v>
      </c>
      <c r="C270" s="35" t="s">
        <v>46</v>
      </c>
      <c r="D270" s="36">
        <v>1</v>
      </c>
      <c r="E270" s="36" t="s">
        <v>54</v>
      </c>
      <c r="F270" s="36" t="s">
        <v>117</v>
      </c>
      <c r="G270" s="36" t="s">
        <v>112</v>
      </c>
      <c r="H270" s="24">
        <v>0</v>
      </c>
      <c r="I270" s="24">
        <v>6000</v>
      </c>
      <c r="J270" s="27">
        <v>3.5745</v>
      </c>
      <c r="K270" s="37">
        <v>0</v>
      </c>
      <c r="L270" s="38">
        <v>46204</v>
      </c>
      <c r="M270" s="12">
        <v>9.2499999999999999E-2</v>
      </c>
      <c r="N270" s="11">
        <f>_xlfn.XLOOKUP(E270,ICMS!C:C,ICMS!D:D)</f>
        <v>0.2</v>
      </c>
      <c r="O270" s="36">
        <f t="shared" si="12"/>
        <v>269</v>
      </c>
      <c r="P270" s="10"/>
      <c r="Q270" s="10" t="s">
        <v>139</v>
      </c>
      <c r="R270" s="28" t="s">
        <v>152</v>
      </c>
      <c r="S270" s="26" t="s">
        <v>174</v>
      </c>
    </row>
    <row r="271" spans="1:19" x14ac:dyDescent="0.3">
      <c r="A271" s="33" t="s">
        <v>13</v>
      </c>
      <c r="B271" s="34" t="s">
        <v>54</v>
      </c>
      <c r="C271" s="35" t="s">
        <v>46</v>
      </c>
      <c r="D271" s="36">
        <v>2</v>
      </c>
      <c r="E271" s="36" t="s">
        <v>54</v>
      </c>
      <c r="F271" s="36" t="s">
        <v>117</v>
      </c>
      <c r="G271" s="36" t="s">
        <v>112</v>
      </c>
      <c r="H271" s="24">
        <f t="shared" si="13"/>
        <v>6000.01</v>
      </c>
      <c r="I271" s="24">
        <v>15000</v>
      </c>
      <c r="J271" s="27">
        <v>3.4535</v>
      </c>
      <c r="K271" s="37">
        <v>0</v>
      </c>
      <c r="L271" s="38">
        <v>46204</v>
      </c>
      <c r="M271" s="12">
        <v>9.2499999999999999E-2</v>
      </c>
      <c r="N271" s="11">
        <f>_xlfn.XLOOKUP(E271,ICMS!C:C,ICMS!D:D)</f>
        <v>0.2</v>
      </c>
      <c r="O271" s="36">
        <f t="shared" si="12"/>
        <v>270</v>
      </c>
      <c r="P271" s="10"/>
      <c r="Q271" s="10" t="s">
        <v>139</v>
      </c>
      <c r="R271" s="28" t="s">
        <v>152</v>
      </c>
      <c r="S271" s="26" t="s">
        <v>174</v>
      </c>
    </row>
    <row r="272" spans="1:19" x14ac:dyDescent="0.3">
      <c r="A272" s="33" t="s">
        <v>13</v>
      </c>
      <c r="B272" s="34" t="s">
        <v>54</v>
      </c>
      <c r="C272" s="35" t="s">
        <v>46</v>
      </c>
      <c r="D272" s="36">
        <v>3</v>
      </c>
      <c r="E272" s="36" t="s">
        <v>54</v>
      </c>
      <c r="F272" s="36" t="s">
        <v>117</v>
      </c>
      <c r="G272" s="36" t="s">
        <v>112</v>
      </c>
      <c r="H272" s="24">
        <f t="shared" si="13"/>
        <v>15000.01</v>
      </c>
      <c r="I272" s="24">
        <v>30000</v>
      </c>
      <c r="J272" s="27">
        <v>3.3342000000000001</v>
      </c>
      <c r="K272" s="37">
        <v>0</v>
      </c>
      <c r="L272" s="38">
        <v>46204</v>
      </c>
      <c r="M272" s="12">
        <v>9.2499999999999999E-2</v>
      </c>
      <c r="N272" s="11">
        <f>_xlfn.XLOOKUP(E272,ICMS!C:C,ICMS!D:D)</f>
        <v>0.2</v>
      </c>
      <c r="O272" s="36">
        <f t="shared" si="12"/>
        <v>271</v>
      </c>
      <c r="P272" s="10"/>
      <c r="Q272" s="10" t="s">
        <v>139</v>
      </c>
      <c r="R272" s="28" t="s">
        <v>152</v>
      </c>
      <c r="S272" s="26" t="s">
        <v>174</v>
      </c>
    </row>
    <row r="273" spans="1:19" x14ac:dyDescent="0.3">
      <c r="A273" s="33" t="s">
        <v>13</v>
      </c>
      <c r="B273" s="34" t="s">
        <v>54</v>
      </c>
      <c r="C273" s="35" t="s">
        <v>46</v>
      </c>
      <c r="D273" s="36">
        <v>4</v>
      </c>
      <c r="E273" s="36" t="s">
        <v>54</v>
      </c>
      <c r="F273" s="36" t="s">
        <v>117</v>
      </c>
      <c r="G273" s="36" t="s">
        <v>112</v>
      </c>
      <c r="H273" s="24">
        <f t="shared" si="13"/>
        <v>30000.01</v>
      </c>
      <c r="I273" s="24">
        <v>60000</v>
      </c>
      <c r="J273" s="27">
        <v>3.2183999999999999</v>
      </c>
      <c r="K273" s="37">
        <v>0</v>
      </c>
      <c r="L273" s="38">
        <v>46204</v>
      </c>
      <c r="M273" s="12">
        <v>9.2499999999999999E-2</v>
      </c>
      <c r="N273" s="11">
        <f>_xlfn.XLOOKUP(E273,ICMS!C:C,ICMS!D:D)</f>
        <v>0.2</v>
      </c>
      <c r="O273" s="36">
        <f t="shared" si="12"/>
        <v>272</v>
      </c>
      <c r="P273" s="10"/>
      <c r="Q273" s="10" t="s">
        <v>139</v>
      </c>
      <c r="R273" s="28" t="s">
        <v>152</v>
      </c>
      <c r="S273" s="26" t="s">
        <v>174</v>
      </c>
    </row>
    <row r="274" spans="1:19" x14ac:dyDescent="0.3">
      <c r="A274" s="33" t="s">
        <v>13</v>
      </c>
      <c r="B274" s="34" t="s">
        <v>54</v>
      </c>
      <c r="C274" s="35" t="s">
        <v>46</v>
      </c>
      <c r="D274" s="36">
        <v>5</v>
      </c>
      <c r="E274" s="36" t="s">
        <v>54</v>
      </c>
      <c r="F274" s="36" t="s">
        <v>117</v>
      </c>
      <c r="G274" s="36" t="s">
        <v>112</v>
      </c>
      <c r="H274" s="24">
        <f t="shared" si="13"/>
        <v>60000.01</v>
      </c>
      <c r="I274" s="24">
        <v>150000</v>
      </c>
      <c r="J274" s="27">
        <v>3.0905</v>
      </c>
      <c r="K274" s="37">
        <v>0</v>
      </c>
      <c r="L274" s="38">
        <v>46204</v>
      </c>
      <c r="M274" s="12">
        <v>9.2499999999999999E-2</v>
      </c>
      <c r="N274" s="11">
        <f>_xlfn.XLOOKUP(E274,ICMS!C:C,ICMS!D:D)</f>
        <v>0.2</v>
      </c>
      <c r="O274" s="36">
        <f t="shared" si="12"/>
        <v>273</v>
      </c>
      <c r="P274" s="10"/>
      <c r="Q274" s="10" t="s">
        <v>139</v>
      </c>
      <c r="R274" s="28" t="s">
        <v>152</v>
      </c>
      <c r="S274" s="26" t="s">
        <v>174</v>
      </c>
    </row>
    <row r="275" spans="1:19" x14ac:dyDescent="0.3">
      <c r="A275" s="33" t="s">
        <v>13</v>
      </c>
      <c r="B275" s="34" t="s">
        <v>54</v>
      </c>
      <c r="C275" s="35" t="s">
        <v>46</v>
      </c>
      <c r="D275" s="36">
        <v>6</v>
      </c>
      <c r="E275" s="36" t="s">
        <v>54</v>
      </c>
      <c r="F275" s="36" t="s">
        <v>117</v>
      </c>
      <c r="G275" s="36" t="s">
        <v>112</v>
      </c>
      <c r="H275" s="24">
        <f t="shared" si="13"/>
        <v>150000.01</v>
      </c>
      <c r="I275" s="24">
        <v>300000</v>
      </c>
      <c r="J275" s="27">
        <v>2.96</v>
      </c>
      <c r="K275" s="37">
        <v>0</v>
      </c>
      <c r="L275" s="38">
        <v>46204</v>
      </c>
      <c r="M275" s="12">
        <v>9.2499999999999999E-2</v>
      </c>
      <c r="N275" s="11">
        <f>_xlfn.XLOOKUP(E275,ICMS!C:C,ICMS!D:D)</f>
        <v>0.2</v>
      </c>
      <c r="O275" s="36">
        <f t="shared" si="12"/>
        <v>274</v>
      </c>
      <c r="P275" s="10"/>
      <c r="Q275" s="10" t="s">
        <v>139</v>
      </c>
      <c r="R275" s="28" t="s">
        <v>152</v>
      </c>
      <c r="S275" s="26" t="s">
        <v>174</v>
      </c>
    </row>
    <row r="276" spans="1:19" x14ac:dyDescent="0.3">
      <c r="A276" s="33" t="s">
        <v>13</v>
      </c>
      <c r="B276" s="34" t="s">
        <v>54</v>
      </c>
      <c r="C276" s="35" t="s">
        <v>46</v>
      </c>
      <c r="D276" s="36">
        <v>7</v>
      </c>
      <c r="E276" s="36" t="s">
        <v>54</v>
      </c>
      <c r="F276" s="36" t="s">
        <v>117</v>
      </c>
      <c r="G276" s="36" t="s">
        <v>112</v>
      </c>
      <c r="H276" s="24">
        <f t="shared" si="13"/>
        <v>300000.01</v>
      </c>
      <c r="I276" s="24">
        <v>600000</v>
      </c>
      <c r="J276" s="27">
        <v>2.8412999999999999</v>
      </c>
      <c r="K276" s="37">
        <v>0</v>
      </c>
      <c r="L276" s="38">
        <v>46204</v>
      </c>
      <c r="M276" s="12">
        <v>9.2499999999999999E-2</v>
      </c>
      <c r="N276" s="11">
        <f>_xlfn.XLOOKUP(E276,ICMS!C:C,ICMS!D:D)</f>
        <v>0.2</v>
      </c>
      <c r="O276" s="36">
        <f t="shared" si="12"/>
        <v>275</v>
      </c>
      <c r="P276" s="10"/>
      <c r="Q276" s="10" t="s">
        <v>139</v>
      </c>
      <c r="R276" s="28" t="s">
        <v>152</v>
      </c>
      <c r="S276" s="26" t="s">
        <v>174</v>
      </c>
    </row>
    <row r="277" spans="1:19" x14ac:dyDescent="0.3">
      <c r="A277" s="33" t="s">
        <v>13</v>
      </c>
      <c r="B277" s="34" t="s">
        <v>54</v>
      </c>
      <c r="C277" s="35" t="s">
        <v>46</v>
      </c>
      <c r="D277" s="36">
        <v>8</v>
      </c>
      <c r="E277" s="36" t="s">
        <v>54</v>
      </c>
      <c r="F277" s="36" t="s">
        <v>117</v>
      </c>
      <c r="G277" s="36" t="s">
        <v>112</v>
      </c>
      <c r="H277" s="24">
        <f t="shared" si="13"/>
        <v>600000.01</v>
      </c>
      <c r="I277" s="24">
        <v>1500000</v>
      </c>
      <c r="J277" s="27">
        <v>2.7465999999999999</v>
      </c>
      <c r="K277" s="37">
        <v>0</v>
      </c>
      <c r="L277" s="38">
        <v>46204</v>
      </c>
      <c r="M277" s="12">
        <v>9.2499999999999999E-2</v>
      </c>
      <c r="N277" s="11">
        <f>_xlfn.XLOOKUP(E277,ICMS!C:C,ICMS!D:D)</f>
        <v>0.2</v>
      </c>
      <c r="O277" s="36">
        <f t="shared" si="12"/>
        <v>276</v>
      </c>
      <c r="P277" s="10"/>
      <c r="Q277" s="10" t="s">
        <v>139</v>
      </c>
      <c r="R277" s="28" t="s">
        <v>152</v>
      </c>
      <c r="S277" s="26" t="s">
        <v>174</v>
      </c>
    </row>
    <row r="278" spans="1:19" x14ac:dyDescent="0.3">
      <c r="A278" s="33" t="s">
        <v>13</v>
      </c>
      <c r="B278" s="34" t="s">
        <v>54</v>
      </c>
      <c r="C278" s="35" t="s">
        <v>46</v>
      </c>
      <c r="D278" s="36">
        <v>9</v>
      </c>
      <c r="E278" s="36" t="s">
        <v>54</v>
      </c>
      <c r="F278" s="36" t="s">
        <v>117</v>
      </c>
      <c r="G278" s="36" t="s">
        <v>112</v>
      </c>
      <c r="H278" s="24">
        <f t="shared" si="13"/>
        <v>1500000.01</v>
      </c>
      <c r="I278" s="24">
        <v>3000000</v>
      </c>
      <c r="J278" s="27">
        <v>2.6516000000000002</v>
      </c>
      <c r="K278" s="37">
        <v>0</v>
      </c>
      <c r="L278" s="38">
        <v>46204</v>
      </c>
      <c r="M278" s="12">
        <v>9.2499999999999999E-2</v>
      </c>
      <c r="N278" s="11">
        <f>_xlfn.XLOOKUP(E278,ICMS!C:C,ICMS!D:D)</f>
        <v>0.2</v>
      </c>
      <c r="O278" s="36">
        <f t="shared" si="12"/>
        <v>277</v>
      </c>
      <c r="P278" s="10"/>
      <c r="Q278" s="10" t="s">
        <v>139</v>
      </c>
      <c r="R278" s="28" t="s">
        <v>152</v>
      </c>
      <c r="S278" s="26" t="s">
        <v>174</v>
      </c>
    </row>
    <row r="279" spans="1:19" x14ac:dyDescent="0.3">
      <c r="A279" s="33" t="s">
        <v>13</v>
      </c>
      <c r="B279" s="34" t="s">
        <v>54</v>
      </c>
      <c r="C279" s="35" t="s">
        <v>46</v>
      </c>
      <c r="D279" s="36">
        <v>10</v>
      </c>
      <c r="E279" s="36" t="s">
        <v>54</v>
      </c>
      <c r="F279" s="36" t="s">
        <v>117</v>
      </c>
      <c r="G279" s="36" t="s">
        <v>112</v>
      </c>
      <c r="H279" s="24">
        <f t="shared" si="13"/>
        <v>3000000.01</v>
      </c>
      <c r="I279" s="24">
        <v>99999999999</v>
      </c>
      <c r="J279" s="27">
        <v>2.5564</v>
      </c>
      <c r="K279" s="37">
        <v>0</v>
      </c>
      <c r="L279" s="38">
        <v>46204</v>
      </c>
      <c r="M279" s="12">
        <v>9.2499999999999999E-2</v>
      </c>
      <c r="N279" s="11">
        <f>_xlfn.XLOOKUP(E279,ICMS!C:C,ICMS!D:D)</f>
        <v>0.2</v>
      </c>
      <c r="O279" s="36">
        <f t="shared" si="12"/>
        <v>278</v>
      </c>
      <c r="P279" s="10"/>
      <c r="Q279" s="10" t="s">
        <v>139</v>
      </c>
      <c r="R279" s="28" t="s">
        <v>152</v>
      </c>
      <c r="S279" s="26" t="s">
        <v>174</v>
      </c>
    </row>
    <row r="280" spans="1:19" x14ac:dyDescent="0.3">
      <c r="A280" s="33" t="s">
        <v>8</v>
      </c>
      <c r="B280" s="34" t="s">
        <v>54</v>
      </c>
      <c r="C280" s="35" t="s">
        <v>46</v>
      </c>
      <c r="D280" s="36">
        <v>1</v>
      </c>
      <c r="E280" s="36" t="s">
        <v>54</v>
      </c>
      <c r="F280" s="36" t="s">
        <v>117</v>
      </c>
      <c r="G280" s="36" t="s">
        <v>76</v>
      </c>
      <c r="H280" s="24">
        <v>0</v>
      </c>
      <c r="I280" s="24">
        <v>99999999999</v>
      </c>
      <c r="J280" s="27">
        <v>3.6490999999999998</v>
      </c>
      <c r="K280" s="37">
        <v>0</v>
      </c>
      <c r="L280" s="38">
        <v>46204</v>
      </c>
      <c r="M280" s="12">
        <v>9.2499999999999999E-2</v>
      </c>
      <c r="N280" s="11">
        <f>_xlfn.XLOOKUP(E280,ICMS!C:C,ICMS!D:D)</f>
        <v>0.2</v>
      </c>
      <c r="O280" s="36">
        <f t="shared" si="12"/>
        <v>279</v>
      </c>
      <c r="P280" s="10"/>
      <c r="Q280" s="10" t="s">
        <v>139</v>
      </c>
      <c r="R280" s="28" t="s">
        <v>152</v>
      </c>
      <c r="S280" s="26" t="s">
        <v>174</v>
      </c>
    </row>
    <row r="281" spans="1:19" x14ac:dyDescent="0.3">
      <c r="A281" s="33" t="s">
        <v>18</v>
      </c>
      <c r="B281" s="34" t="s">
        <v>54</v>
      </c>
      <c r="C281" s="35" t="s">
        <v>46</v>
      </c>
      <c r="D281" s="36">
        <v>1</v>
      </c>
      <c r="E281" s="36" t="s">
        <v>54</v>
      </c>
      <c r="F281" s="36" t="s">
        <v>117</v>
      </c>
      <c r="G281" s="36" t="s">
        <v>83</v>
      </c>
      <c r="H281" s="24">
        <v>0</v>
      </c>
      <c r="I281" s="24">
        <v>99999999999</v>
      </c>
      <c r="J281" s="27">
        <v>7.0716000000000001</v>
      </c>
      <c r="K281" s="37">
        <v>0</v>
      </c>
      <c r="L281" s="38">
        <v>46204</v>
      </c>
      <c r="M281" s="12">
        <v>9.2499999999999999E-2</v>
      </c>
      <c r="N281" s="11">
        <f>_xlfn.XLOOKUP(E281,ICMS!C:C,ICMS!D:D)</f>
        <v>0.2</v>
      </c>
      <c r="O281" s="36">
        <f t="shared" si="12"/>
        <v>280</v>
      </c>
      <c r="P281" s="10"/>
      <c r="Q281" s="10" t="s">
        <v>139</v>
      </c>
      <c r="R281" s="28" t="s">
        <v>152</v>
      </c>
      <c r="S281" s="26" t="s">
        <v>174</v>
      </c>
    </row>
    <row r="282" spans="1:19" x14ac:dyDescent="0.3">
      <c r="A282" s="33" t="s">
        <v>18</v>
      </c>
      <c r="B282" s="34" t="s">
        <v>59</v>
      </c>
      <c r="C282" s="35" t="s">
        <v>46</v>
      </c>
      <c r="D282" s="36">
        <v>1</v>
      </c>
      <c r="E282" s="36" t="s">
        <v>59</v>
      </c>
      <c r="F282" s="36" t="s">
        <v>118</v>
      </c>
      <c r="G282" s="36" t="s">
        <v>17</v>
      </c>
      <c r="H282" s="24">
        <v>0</v>
      </c>
      <c r="I282" s="24">
        <v>15</v>
      </c>
      <c r="J282" s="27">
        <v>7.9828000000000001</v>
      </c>
      <c r="K282" s="37">
        <v>0</v>
      </c>
      <c r="L282" s="38">
        <v>46204</v>
      </c>
      <c r="M282" s="12">
        <v>9.2499999999999999E-2</v>
      </c>
      <c r="N282" s="11">
        <f>_xlfn.XLOOKUP(E282,ICMS!C:C,ICMS!D:D)</f>
        <v>0.2</v>
      </c>
      <c r="O282" s="36">
        <f t="shared" si="12"/>
        <v>281</v>
      </c>
      <c r="P282" s="10"/>
      <c r="Q282" s="10" t="s">
        <v>139</v>
      </c>
      <c r="R282" s="28" t="s">
        <v>153</v>
      </c>
      <c r="S282" s="26" t="s">
        <v>163</v>
      </c>
    </row>
    <row r="283" spans="1:19" x14ac:dyDescent="0.3">
      <c r="A283" s="33" t="s">
        <v>18</v>
      </c>
      <c r="B283" s="34" t="s">
        <v>59</v>
      </c>
      <c r="C283" s="35" t="s">
        <v>46</v>
      </c>
      <c r="D283" s="36">
        <v>2</v>
      </c>
      <c r="E283" s="36" t="s">
        <v>59</v>
      </c>
      <c r="F283" s="36" t="s">
        <v>118</v>
      </c>
      <c r="G283" s="36" t="s">
        <v>17</v>
      </c>
      <c r="H283" s="24">
        <f t="shared" ref="H283:H353" si="14">I282+0.01</f>
        <v>15.01</v>
      </c>
      <c r="I283" s="24">
        <v>50</v>
      </c>
      <c r="J283" s="27">
        <v>7.6828000000000003</v>
      </c>
      <c r="K283" s="37">
        <v>0</v>
      </c>
      <c r="L283" s="38">
        <v>46204</v>
      </c>
      <c r="M283" s="12">
        <v>9.2499999999999999E-2</v>
      </c>
      <c r="N283" s="11">
        <f>_xlfn.XLOOKUP(E283,ICMS!C:C,ICMS!D:D)</f>
        <v>0.2</v>
      </c>
      <c r="O283" s="36">
        <f t="shared" si="12"/>
        <v>282</v>
      </c>
      <c r="P283" s="10"/>
      <c r="Q283" s="10" t="s">
        <v>139</v>
      </c>
      <c r="R283" s="28" t="s">
        <v>153</v>
      </c>
      <c r="S283" s="26" t="s">
        <v>163</v>
      </c>
    </row>
    <row r="284" spans="1:19" x14ac:dyDescent="0.3">
      <c r="A284" s="33" t="s">
        <v>18</v>
      </c>
      <c r="B284" s="34" t="s">
        <v>59</v>
      </c>
      <c r="C284" s="35" t="s">
        <v>46</v>
      </c>
      <c r="D284" s="36">
        <v>3</v>
      </c>
      <c r="E284" s="36" t="s">
        <v>59</v>
      </c>
      <c r="F284" s="36" t="s">
        <v>118</v>
      </c>
      <c r="G284" s="36" t="s">
        <v>17</v>
      </c>
      <c r="H284" s="24">
        <f t="shared" si="14"/>
        <v>50.01</v>
      </c>
      <c r="I284" s="24">
        <v>75</v>
      </c>
      <c r="J284" s="27">
        <v>6.6558000000000002</v>
      </c>
      <c r="K284" s="37">
        <v>0</v>
      </c>
      <c r="L284" s="38">
        <v>46204</v>
      </c>
      <c r="M284" s="12">
        <v>9.2499999999999999E-2</v>
      </c>
      <c r="N284" s="11">
        <f>_xlfn.XLOOKUP(E284,ICMS!C:C,ICMS!D:D)</f>
        <v>0.2</v>
      </c>
      <c r="O284" s="36">
        <f t="shared" si="12"/>
        <v>283</v>
      </c>
      <c r="P284" s="10"/>
      <c r="Q284" s="10" t="s">
        <v>139</v>
      </c>
      <c r="R284" s="28" t="s">
        <v>153</v>
      </c>
      <c r="S284" s="26" t="s">
        <v>163</v>
      </c>
    </row>
    <row r="285" spans="1:19" x14ac:dyDescent="0.3">
      <c r="A285" s="33" t="s">
        <v>18</v>
      </c>
      <c r="B285" s="34" t="s">
        <v>59</v>
      </c>
      <c r="C285" s="35" t="s">
        <v>46</v>
      </c>
      <c r="D285" s="36">
        <v>4</v>
      </c>
      <c r="E285" s="36" t="s">
        <v>59</v>
      </c>
      <c r="F285" s="36" t="s">
        <v>118</v>
      </c>
      <c r="G285" s="36" t="s">
        <v>17</v>
      </c>
      <c r="H285" s="24">
        <f t="shared" si="14"/>
        <v>75.010000000000005</v>
      </c>
      <c r="I285" s="24">
        <v>100</v>
      </c>
      <c r="J285" s="27">
        <v>6.6558000000000002</v>
      </c>
      <c r="K285" s="37">
        <v>0</v>
      </c>
      <c r="L285" s="38">
        <v>46204</v>
      </c>
      <c r="M285" s="12">
        <v>9.2499999999999999E-2</v>
      </c>
      <c r="N285" s="11">
        <f>_xlfn.XLOOKUP(E285,ICMS!C:C,ICMS!D:D)</f>
        <v>0.2</v>
      </c>
      <c r="O285" s="36">
        <f t="shared" si="12"/>
        <v>284</v>
      </c>
      <c r="P285" s="10"/>
      <c r="Q285" s="10" t="s">
        <v>139</v>
      </c>
      <c r="R285" s="28" t="s">
        <v>153</v>
      </c>
      <c r="S285" s="26" t="s">
        <v>163</v>
      </c>
    </row>
    <row r="286" spans="1:19" x14ac:dyDescent="0.3">
      <c r="A286" s="33" t="s">
        <v>18</v>
      </c>
      <c r="B286" s="34" t="s">
        <v>59</v>
      </c>
      <c r="C286" s="35" t="s">
        <v>46</v>
      </c>
      <c r="D286" s="36">
        <v>5</v>
      </c>
      <c r="E286" s="36" t="s">
        <v>59</v>
      </c>
      <c r="F286" s="36" t="s">
        <v>118</v>
      </c>
      <c r="G286" s="36" t="s">
        <v>17</v>
      </c>
      <c r="H286" s="24">
        <f t="shared" si="14"/>
        <v>100.01</v>
      </c>
      <c r="I286" s="24">
        <v>300</v>
      </c>
      <c r="J286" s="27">
        <v>6.2446000000000002</v>
      </c>
      <c r="K286" s="37">
        <v>0</v>
      </c>
      <c r="L286" s="38">
        <v>46204</v>
      </c>
      <c r="M286" s="12">
        <v>9.2499999999999999E-2</v>
      </c>
      <c r="N286" s="11">
        <f>_xlfn.XLOOKUP(E286,ICMS!C:C,ICMS!D:D)</f>
        <v>0.2</v>
      </c>
      <c r="O286" s="36">
        <f t="shared" si="12"/>
        <v>285</v>
      </c>
      <c r="P286" s="10"/>
      <c r="Q286" s="10" t="s">
        <v>139</v>
      </c>
      <c r="R286" s="28" t="s">
        <v>153</v>
      </c>
      <c r="S286" s="26" t="s">
        <v>163</v>
      </c>
    </row>
    <row r="287" spans="1:19" x14ac:dyDescent="0.3">
      <c r="A287" s="33" t="s">
        <v>18</v>
      </c>
      <c r="B287" s="34" t="s">
        <v>59</v>
      </c>
      <c r="C287" s="35" t="s">
        <v>46</v>
      </c>
      <c r="D287" s="36">
        <v>6</v>
      </c>
      <c r="E287" s="36" t="s">
        <v>59</v>
      </c>
      <c r="F287" s="36" t="s">
        <v>118</v>
      </c>
      <c r="G287" s="36" t="s">
        <v>17</v>
      </c>
      <c r="H287" s="24">
        <f t="shared" si="14"/>
        <v>300.01</v>
      </c>
      <c r="I287" s="24">
        <v>600</v>
      </c>
      <c r="J287" s="27">
        <v>5.9606000000000003</v>
      </c>
      <c r="K287" s="37">
        <v>0</v>
      </c>
      <c r="L287" s="38">
        <v>46204</v>
      </c>
      <c r="M287" s="12">
        <v>9.2499999999999999E-2</v>
      </c>
      <c r="N287" s="11">
        <f>_xlfn.XLOOKUP(E287,ICMS!C:C,ICMS!D:D)</f>
        <v>0.2</v>
      </c>
      <c r="O287" s="36">
        <f t="shared" si="12"/>
        <v>286</v>
      </c>
      <c r="P287" s="10"/>
      <c r="Q287" s="10" t="s">
        <v>139</v>
      </c>
      <c r="R287" s="28" t="s">
        <v>153</v>
      </c>
      <c r="S287" s="26" t="s">
        <v>163</v>
      </c>
    </row>
    <row r="288" spans="1:19" x14ac:dyDescent="0.3">
      <c r="A288" s="33" t="s">
        <v>18</v>
      </c>
      <c r="B288" s="34" t="s">
        <v>59</v>
      </c>
      <c r="C288" s="35" t="s">
        <v>46</v>
      </c>
      <c r="D288" s="36">
        <v>7</v>
      </c>
      <c r="E288" s="36" t="s">
        <v>59</v>
      </c>
      <c r="F288" s="36" t="s">
        <v>118</v>
      </c>
      <c r="G288" s="36" t="s">
        <v>17</v>
      </c>
      <c r="H288" s="24">
        <f t="shared" si="14"/>
        <v>600.01</v>
      </c>
      <c r="I288" s="24">
        <v>99999999999</v>
      </c>
      <c r="J288" s="27">
        <v>5.7606000000000002</v>
      </c>
      <c r="K288" s="37">
        <v>0</v>
      </c>
      <c r="L288" s="38">
        <v>46204</v>
      </c>
      <c r="M288" s="12">
        <v>9.2499999999999999E-2</v>
      </c>
      <c r="N288" s="11">
        <f>_xlfn.XLOOKUP(E288,ICMS!C:C,ICMS!D:D)</f>
        <v>0.2</v>
      </c>
      <c r="O288" s="36">
        <f t="shared" si="12"/>
        <v>287</v>
      </c>
      <c r="P288" s="10"/>
      <c r="Q288" s="10" t="s">
        <v>139</v>
      </c>
      <c r="R288" s="28" t="s">
        <v>153</v>
      </c>
      <c r="S288" s="26" t="s">
        <v>163</v>
      </c>
    </row>
    <row r="289" spans="1:19" x14ac:dyDescent="0.3">
      <c r="A289" s="33" t="s">
        <v>8</v>
      </c>
      <c r="B289" s="34" t="s">
        <v>59</v>
      </c>
      <c r="C289" s="35" t="s">
        <v>46</v>
      </c>
      <c r="D289" s="36">
        <v>1</v>
      </c>
      <c r="E289" s="36" t="s">
        <v>59</v>
      </c>
      <c r="F289" s="36" t="s">
        <v>118</v>
      </c>
      <c r="G289" s="36" t="s">
        <v>17</v>
      </c>
      <c r="H289" s="24">
        <v>0</v>
      </c>
      <c r="I289" s="24">
        <v>15</v>
      </c>
      <c r="J289" s="27">
        <v>7.9828000000000001</v>
      </c>
      <c r="K289" s="37">
        <v>0</v>
      </c>
      <c r="L289" s="38">
        <v>46204</v>
      </c>
      <c r="M289" s="12">
        <v>9.2499999999999999E-2</v>
      </c>
      <c r="N289" s="11">
        <f>_xlfn.XLOOKUP(E289,ICMS!C:C,ICMS!D:D)</f>
        <v>0.2</v>
      </c>
      <c r="O289" s="36">
        <f t="shared" si="12"/>
        <v>288</v>
      </c>
      <c r="P289" s="10"/>
      <c r="Q289" s="10" t="s">
        <v>139</v>
      </c>
      <c r="R289" s="28" t="s">
        <v>153</v>
      </c>
      <c r="S289" s="26" t="s">
        <v>163</v>
      </c>
    </row>
    <row r="290" spans="1:19" x14ac:dyDescent="0.3">
      <c r="A290" s="33" t="s">
        <v>8</v>
      </c>
      <c r="B290" s="34" t="s">
        <v>59</v>
      </c>
      <c r="C290" s="35" t="s">
        <v>46</v>
      </c>
      <c r="D290" s="36">
        <v>2</v>
      </c>
      <c r="E290" s="36" t="s">
        <v>59</v>
      </c>
      <c r="F290" s="36" t="s">
        <v>118</v>
      </c>
      <c r="G290" s="36" t="s">
        <v>17</v>
      </c>
      <c r="H290" s="24">
        <f t="shared" ref="H290:H295" si="15">I289+0.01</f>
        <v>15.01</v>
      </c>
      <c r="I290" s="24">
        <v>50</v>
      </c>
      <c r="J290" s="27">
        <v>7.6828000000000003</v>
      </c>
      <c r="K290" s="37">
        <v>0</v>
      </c>
      <c r="L290" s="38">
        <v>46204</v>
      </c>
      <c r="M290" s="12">
        <v>9.2499999999999999E-2</v>
      </c>
      <c r="N290" s="11">
        <f>_xlfn.XLOOKUP(E290,ICMS!C:C,ICMS!D:D)</f>
        <v>0.2</v>
      </c>
      <c r="O290" s="36">
        <f t="shared" si="12"/>
        <v>289</v>
      </c>
      <c r="P290" s="10"/>
      <c r="Q290" s="10" t="s">
        <v>139</v>
      </c>
      <c r="R290" s="28" t="s">
        <v>153</v>
      </c>
      <c r="S290" s="26" t="s">
        <v>163</v>
      </c>
    </row>
    <row r="291" spans="1:19" x14ac:dyDescent="0.3">
      <c r="A291" s="33" t="s">
        <v>8</v>
      </c>
      <c r="B291" s="34" t="s">
        <v>59</v>
      </c>
      <c r="C291" s="35" t="s">
        <v>46</v>
      </c>
      <c r="D291" s="36">
        <v>3</v>
      </c>
      <c r="E291" s="36" t="s">
        <v>59</v>
      </c>
      <c r="F291" s="36" t="s">
        <v>118</v>
      </c>
      <c r="G291" s="36" t="s">
        <v>17</v>
      </c>
      <c r="H291" s="24">
        <f t="shared" si="15"/>
        <v>50.01</v>
      </c>
      <c r="I291" s="24">
        <v>75</v>
      </c>
      <c r="J291" s="27">
        <v>6.6558000000000002</v>
      </c>
      <c r="K291" s="37">
        <v>0</v>
      </c>
      <c r="L291" s="38">
        <v>46204</v>
      </c>
      <c r="M291" s="12">
        <v>9.2499999999999999E-2</v>
      </c>
      <c r="N291" s="11">
        <f>_xlfn.XLOOKUP(E291,ICMS!C:C,ICMS!D:D)</f>
        <v>0.2</v>
      </c>
      <c r="O291" s="36">
        <f t="shared" si="12"/>
        <v>290</v>
      </c>
      <c r="P291" s="10"/>
      <c r="Q291" s="10" t="s">
        <v>139</v>
      </c>
      <c r="R291" s="28" t="s">
        <v>153</v>
      </c>
      <c r="S291" s="26" t="s">
        <v>163</v>
      </c>
    </row>
    <row r="292" spans="1:19" x14ac:dyDescent="0.3">
      <c r="A292" s="33" t="s">
        <v>8</v>
      </c>
      <c r="B292" s="34" t="s">
        <v>59</v>
      </c>
      <c r="C292" s="35" t="s">
        <v>46</v>
      </c>
      <c r="D292" s="36">
        <v>4</v>
      </c>
      <c r="E292" s="36" t="s">
        <v>59</v>
      </c>
      <c r="F292" s="36" t="s">
        <v>118</v>
      </c>
      <c r="G292" s="36" t="s">
        <v>17</v>
      </c>
      <c r="H292" s="24">
        <f t="shared" si="15"/>
        <v>75.010000000000005</v>
      </c>
      <c r="I292" s="24">
        <v>100</v>
      </c>
      <c r="J292" s="27">
        <v>6.6558000000000002</v>
      </c>
      <c r="K292" s="37">
        <v>0</v>
      </c>
      <c r="L292" s="38">
        <v>46204</v>
      </c>
      <c r="M292" s="12">
        <v>9.2499999999999999E-2</v>
      </c>
      <c r="N292" s="11">
        <f>_xlfn.XLOOKUP(E292,ICMS!C:C,ICMS!D:D)</f>
        <v>0.2</v>
      </c>
      <c r="O292" s="36">
        <f t="shared" si="12"/>
        <v>291</v>
      </c>
      <c r="P292" s="10"/>
      <c r="Q292" s="10" t="s">
        <v>139</v>
      </c>
      <c r="R292" s="28" t="s">
        <v>153</v>
      </c>
      <c r="S292" s="26" t="s">
        <v>163</v>
      </c>
    </row>
    <row r="293" spans="1:19" x14ac:dyDescent="0.3">
      <c r="A293" s="33" t="s">
        <v>8</v>
      </c>
      <c r="B293" s="34" t="s">
        <v>59</v>
      </c>
      <c r="C293" s="35" t="s">
        <v>46</v>
      </c>
      <c r="D293" s="36">
        <v>5</v>
      </c>
      <c r="E293" s="36" t="s">
        <v>59</v>
      </c>
      <c r="F293" s="36" t="s">
        <v>118</v>
      </c>
      <c r="G293" s="36" t="s">
        <v>17</v>
      </c>
      <c r="H293" s="24">
        <f t="shared" si="15"/>
        <v>100.01</v>
      </c>
      <c r="I293" s="24">
        <v>300</v>
      </c>
      <c r="J293" s="27">
        <v>6.2446000000000002</v>
      </c>
      <c r="K293" s="37">
        <v>0</v>
      </c>
      <c r="L293" s="38">
        <v>46204</v>
      </c>
      <c r="M293" s="12">
        <v>9.2499999999999999E-2</v>
      </c>
      <c r="N293" s="11">
        <f>_xlfn.XLOOKUP(E293,ICMS!C:C,ICMS!D:D)</f>
        <v>0.2</v>
      </c>
      <c r="O293" s="36">
        <f t="shared" si="12"/>
        <v>292</v>
      </c>
      <c r="P293" s="10"/>
      <c r="Q293" s="10" t="s">
        <v>139</v>
      </c>
      <c r="R293" s="28" t="s">
        <v>153</v>
      </c>
      <c r="S293" s="26" t="s">
        <v>163</v>
      </c>
    </row>
    <row r="294" spans="1:19" x14ac:dyDescent="0.3">
      <c r="A294" s="33" t="s">
        <v>8</v>
      </c>
      <c r="B294" s="34" t="s">
        <v>59</v>
      </c>
      <c r="C294" s="35" t="s">
        <v>46</v>
      </c>
      <c r="D294" s="36">
        <v>6</v>
      </c>
      <c r="E294" s="36" t="s">
        <v>59</v>
      </c>
      <c r="F294" s="36" t="s">
        <v>118</v>
      </c>
      <c r="G294" s="36" t="s">
        <v>17</v>
      </c>
      <c r="H294" s="24">
        <f t="shared" si="15"/>
        <v>300.01</v>
      </c>
      <c r="I294" s="24">
        <v>600</v>
      </c>
      <c r="J294" s="27">
        <v>5.9606000000000003</v>
      </c>
      <c r="K294" s="37">
        <v>0</v>
      </c>
      <c r="L294" s="38">
        <v>46204</v>
      </c>
      <c r="M294" s="12">
        <v>9.2499999999999999E-2</v>
      </c>
      <c r="N294" s="11">
        <f>_xlfn.XLOOKUP(E294,ICMS!C:C,ICMS!D:D)</f>
        <v>0.2</v>
      </c>
      <c r="O294" s="36">
        <f t="shared" si="12"/>
        <v>293</v>
      </c>
      <c r="P294" s="10"/>
      <c r="Q294" s="10" t="s">
        <v>139</v>
      </c>
      <c r="R294" s="28" t="s">
        <v>153</v>
      </c>
      <c r="S294" s="26" t="s">
        <v>163</v>
      </c>
    </row>
    <row r="295" spans="1:19" x14ac:dyDescent="0.3">
      <c r="A295" s="33" t="s">
        <v>8</v>
      </c>
      <c r="B295" s="34" t="s">
        <v>59</v>
      </c>
      <c r="C295" s="35" t="s">
        <v>46</v>
      </c>
      <c r="D295" s="36">
        <v>7</v>
      </c>
      <c r="E295" s="36" t="s">
        <v>59</v>
      </c>
      <c r="F295" s="36" t="s">
        <v>118</v>
      </c>
      <c r="G295" s="36" t="s">
        <v>17</v>
      </c>
      <c r="H295" s="24">
        <f t="shared" si="15"/>
        <v>600.01</v>
      </c>
      <c r="I295" s="24">
        <v>99999999999</v>
      </c>
      <c r="J295" s="27">
        <v>5.7606000000000002</v>
      </c>
      <c r="K295" s="37">
        <v>0</v>
      </c>
      <c r="L295" s="38">
        <v>46204</v>
      </c>
      <c r="M295" s="12">
        <v>9.2499999999999999E-2</v>
      </c>
      <c r="N295" s="11">
        <f>_xlfn.XLOOKUP(E295,ICMS!C:C,ICMS!D:D)</f>
        <v>0.2</v>
      </c>
      <c r="O295" s="36">
        <f t="shared" si="12"/>
        <v>294</v>
      </c>
      <c r="P295" s="10"/>
      <c r="Q295" s="10" t="s">
        <v>139</v>
      </c>
      <c r="R295" s="28" t="s">
        <v>153</v>
      </c>
      <c r="S295" s="26" t="s">
        <v>163</v>
      </c>
    </row>
    <row r="296" spans="1:19" s="35" customFormat="1" x14ac:dyDescent="0.3">
      <c r="A296" s="33" t="s">
        <v>13</v>
      </c>
      <c r="B296" s="34" t="s">
        <v>59</v>
      </c>
      <c r="C296" s="35" t="s">
        <v>46</v>
      </c>
      <c r="D296" s="36">
        <v>1</v>
      </c>
      <c r="E296" s="36" t="s">
        <v>59</v>
      </c>
      <c r="F296" s="36" t="s">
        <v>118</v>
      </c>
      <c r="G296" s="36" t="s">
        <v>14</v>
      </c>
      <c r="H296" s="24">
        <v>0</v>
      </c>
      <c r="I296" s="24">
        <v>100</v>
      </c>
      <c r="J296" s="27">
        <v>5.8734999999999999</v>
      </c>
      <c r="K296" s="37">
        <v>0</v>
      </c>
      <c r="L296" s="38">
        <v>46204</v>
      </c>
      <c r="M296" s="12">
        <v>9.2499999999999999E-2</v>
      </c>
      <c r="N296" s="11">
        <f>_xlfn.XLOOKUP(E296,ICMS!C:C,ICMS!D:D)</f>
        <v>0.2</v>
      </c>
      <c r="O296" s="36">
        <f t="shared" si="12"/>
        <v>295</v>
      </c>
      <c r="P296" s="36"/>
      <c r="Q296" s="10" t="s">
        <v>139</v>
      </c>
      <c r="R296" s="28" t="s">
        <v>153</v>
      </c>
      <c r="S296" s="26" t="s">
        <v>163</v>
      </c>
    </row>
    <row r="297" spans="1:19" s="35" customFormat="1" x14ac:dyDescent="0.3">
      <c r="A297" s="33" t="s">
        <v>13</v>
      </c>
      <c r="B297" s="34" t="s">
        <v>59</v>
      </c>
      <c r="C297" s="35" t="s">
        <v>46</v>
      </c>
      <c r="D297" s="36">
        <v>2</v>
      </c>
      <c r="E297" s="36" t="s">
        <v>59</v>
      </c>
      <c r="F297" s="36" t="s">
        <v>118</v>
      </c>
      <c r="G297" s="36" t="s">
        <v>14</v>
      </c>
      <c r="H297" s="24">
        <f t="shared" si="14"/>
        <v>100.01</v>
      </c>
      <c r="I297" s="24">
        <v>500</v>
      </c>
      <c r="J297" s="27">
        <v>5.4913999999999996</v>
      </c>
      <c r="K297" s="37">
        <v>0</v>
      </c>
      <c r="L297" s="38">
        <v>46204</v>
      </c>
      <c r="M297" s="12">
        <v>9.2499999999999999E-2</v>
      </c>
      <c r="N297" s="11">
        <f>_xlfn.XLOOKUP(E297,ICMS!C:C,ICMS!D:D)</f>
        <v>0.2</v>
      </c>
      <c r="O297" s="36">
        <f t="shared" si="12"/>
        <v>296</v>
      </c>
      <c r="P297" s="36"/>
      <c r="Q297" s="10" t="s">
        <v>139</v>
      </c>
      <c r="R297" s="28" t="s">
        <v>153</v>
      </c>
      <c r="S297" s="26" t="s">
        <v>163</v>
      </c>
    </row>
    <row r="298" spans="1:19" s="35" customFormat="1" x14ac:dyDescent="0.3">
      <c r="A298" s="33" t="s">
        <v>13</v>
      </c>
      <c r="B298" s="34" t="s">
        <v>59</v>
      </c>
      <c r="C298" s="35" t="s">
        <v>46</v>
      </c>
      <c r="D298" s="36">
        <v>3</v>
      </c>
      <c r="E298" s="36" t="s">
        <v>59</v>
      </c>
      <c r="F298" s="36" t="s">
        <v>118</v>
      </c>
      <c r="G298" s="36" t="s">
        <v>14</v>
      </c>
      <c r="H298" s="24">
        <f t="shared" si="14"/>
        <v>500.01</v>
      </c>
      <c r="I298" s="24">
        <v>1000</v>
      </c>
      <c r="J298" s="27">
        <v>4.8440000000000003</v>
      </c>
      <c r="K298" s="37">
        <v>0</v>
      </c>
      <c r="L298" s="38">
        <v>46204</v>
      </c>
      <c r="M298" s="12">
        <v>9.2499999999999999E-2</v>
      </c>
      <c r="N298" s="11">
        <f>_xlfn.XLOOKUP(E298,ICMS!C:C,ICMS!D:D)</f>
        <v>0.2</v>
      </c>
      <c r="O298" s="36">
        <f t="shared" si="12"/>
        <v>297</v>
      </c>
      <c r="P298" s="36"/>
      <c r="Q298" s="10" t="s">
        <v>139</v>
      </c>
      <c r="R298" s="28" t="s">
        <v>153</v>
      </c>
      <c r="S298" s="26" t="s">
        <v>163</v>
      </c>
    </row>
    <row r="299" spans="1:19" s="35" customFormat="1" x14ac:dyDescent="0.3">
      <c r="A299" s="33" t="s">
        <v>13</v>
      </c>
      <c r="B299" s="34" t="s">
        <v>59</v>
      </c>
      <c r="C299" s="35" t="s">
        <v>46</v>
      </c>
      <c r="D299" s="36">
        <v>4</v>
      </c>
      <c r="E299" s="36" t="s">
        <v>59</v>
      </c>
      <c r="F299" s="36" t="s">
        <v>118</v>
      </c>
      <c r="G299" s="36" t="s">
        <v>14</v>
      </c>
      <c r="H299" s="24">
        <f t="shared" si="14"/>
        <v>1000.01</v>
      </c>
      <c r="I299" s="24">
        <v>1500</v>
      </c>
      <c r="J299" s="27">
        <v>4.6608000000000001</v>
      </c>
      <c r="K299" s="37">
        <v>0</v>
      </c>
      <c r="L299" s="38">
        <v>46204</v>
      </c>
      <c r="M299" s="12">
        <v>9.2499999999999999E-2</v>
      </c>
      <c r="N299" s="11">
        <f>_xlfn.XLOOKUP(E299,ICMS!C:C,ICMS!D:D)</f>
        <v>0.2</v>
      </c>
      <c r="O299" s="36">
        <f t="shared" si="12"/>
        <v>298</v>
      </c>
      <c r="P299" s="36"/>
      <c r="Q299" s="10" t="s">
        <v>139</v>
      </c>
      <c r="R299" s="28" t="s">
        <v>153</v>
      </c>
      <c r="S299" s="26" t="s">
        <v>163</v>
      </c>
    </row>
    <row r="300" spans="1:19" s="35" customFormat="1" x14ac:dyDescent="0.3">
      <c r="A300" s="33" t="s">
        <v>13</v>
      </c>
      <c r="B300" s="34" t="s">
        <v>59</v>
      </c>
      <c r="C300" s="35" t="s">
        <v>46</v>
      </c>
      <c r="D300" s="36">
        <v>5</v>
      </c>
      <c r="E300" s="36" t="s">
        <v>59</v>
      </c>
      <c r="F300" s="36" t="s">
        <v>118</v>
      </c>
      <c r="G300" s="36" t="s">
        <v>14</v>
      </c>
      <c r="H300" s="24">
        <f t="shared" si="14"/>
        <v>1500.01</v>
      </c>
      <c r="I300" s="24">
        <v>3000</v>
      </c>
      <c r="J300" s="27">
        <v>4.1909000000000001</v>
      </c>
      <c r="K300" s="37">
        <v>0</v>
      </c>
      <c r="L300" s="38">
        <v>46204</v>
      </c>
      <c r="M300" s="12">
        <v>9.2499999999999999E-2</v>
      </c>
      <c r="N300" s="11">
        <f>_xlfn.XLOOKUP(E300,ICMS!C:C,ICMS!D:D)</f>
        <v>0.2</v>
      </c>
      <c r="O300" s="36">
        <f t="shared" si="12"/>
        <v>299</v>
      </c>
      <c r="P300" s="36"/>
      <c r="Q300" s="10" t="s">
        <v>139</v>
      </c>
      <c r="R300" s="28" t="s">
        <v>153</v>
      </c>
      <c r="S300" s="26" t="s">
        <v>163</v>
      </c>
    </row>
    <row r="301" spans="1:19" s="35" customFormat="1" x14ac:dyDescent="0.3">
      <c r="A301" s="33" t="s">
        <v>13</v>
      </c>
      <c r="B301" s="34" t="s">
        <v>59</v>
      </c>
      <c r="C301" s="35" t="s">
        <v>46</v>
      </c>
      <c r="D301" s="36">
        <v>6</v>
      </c>
      <c r="E301" s="36" t="s">
        <v>59</v>
      </c>
      <c r="F301" s="36" t="s">
        <v>118</v>
      </c>
      <c r="G301" s="36" t="s">
        <v>14</v>
      </c>
      <c r="H301" s="24">
        <f t="shared" si="14"/>
        <v>3000.01</v>
      </c>
      <c r="I301" s="24">
        <v>5000</v>
      </c>
      <c r="J301" s="27">
        <v>3.9087999999999998</v>
      </c>
      <c r="K301" s="37">
        <v>0</v>
      </c>
      <c r="L301" s="38">
        <v>46204</v>
      </c>
      <c r="M301" s="12">
        <v>9.2499999999999999E-2</v>
      </c>
      <c r="N301" s="11">
        <f>_xlfn.XLOOKUP(E301,ICMS!C:C,ICMS!D:D)</f>
        <v>0.2</v>
      </c>
      <c r="O301" s="36">
        <f t="shared" si="12"/>
        <v>300</v>
      </c>
      <c r="P301" s="36"/>
      <c r="Q301" s="10" t="s">
        <v>139</v>
      </c>
      <c r="R301" s="28" t="s">
        <v>153</v>
      </c>
      <c r="S301" s="26" t="s">
        <v>163</v>
      </c>
    </row>
    <row r="302" spans="1:19" s="35" customFormat="1" x14ac:dyDescent="0.3">
      <c r="A302" s="33" t="s">
        <v>13</v>
      </c>
      <c r="B302" s="34" t="s">
        <v>59</v>
      </c>
      <c r="C302" s="35" t="s">
        <v>46</v>
      </c>
      <c r="D302" s="36">
        <v>7</v>
      </c>
      <c r="E302" s="36" t="s">
        <v>59</v>
      </c>
      <c r="F302" s="36" t="s">
        <v>118</v>
      </c>
      <c r="G302" s="36" t="s">
        <v>14</v>
      </c>
      <c r="H302" s="24">
        <f t="shared" si="14"/>
        <v>5000.01</v>
      </c>
      <c r="I302" s="24">
        <v>99999999999</v>
      </c>
      <c r="J302" s="27">
        <v>3.9087999999999998</v>
      </c>
      <c r="K302" s="37">
        <v>0</v>
      </c>
      <c r="L302" s="38">
        <v>46204</v>
      </c>
      <c r="M302" s="12">
        <v>9.2499999999999999E-2</v>
      </c>
      <c r="N302" s="11">
        <f>_xlfn.XLOOKUP(E302,ICMS!C:C,ICMS!D:D)</f>
        <v>0.2</v>
      </c>
      <c r="O302" s="36">
        <f t="shared" si="12"/>
        <v>301</v>
      </c>
      <c r="P302" s="36"/>
      <c r="Q302" s="10" t="s">
        <v>139</v>
      </c>
      <c r="R302" s="28" t="s">
        <v>153</v>
      </c>
      <c r="S302" s="26" t="s">
        <v>163</v>
      </c>
    </row>
    <row r="303" spans="1:19" x14ac:dyDescent="0.3">
      <c r="A303" s="33" t="s">
        <v>15</v>
      </c>
      <c r="B303" s="34" t="s">
        <v>59</v>
      </c>
      <c r="C303" s="35" t="s">
        <v>46</v>
      </c>
      <c r="D303" s="36">
        <v>1</v>
      </c>
      <c r="E303" s="36" t="s">
        <v>59</v>
      </c>
      <c r="F303" s="36" t="s">
        <v>118</v>
      </c>
      <c r="G303" s="36" t="s">
        <v>21</v>
      </c>
      <c r="H303" s="24">
        <v>0</v>
      </c>
      <c r="I303" s="24">
        <v>1500</v>
      </c>
      <c r="J303" s="27">
        <v>4.0126999999999997</v>
      </c>
      <c r="K303" s="37">
        <v>0</v>
      </c>
      <c r="L303" s="38">
        <v>46204</v>
      </c>
      <c r="M303" s="12">
        <v>9.2499999999999999E-2</v>
      </c>
      <c r="N303" s="11">
        <f>_xlfn.XLOOKUP(E303,ICMS!C:C,ICMS!D:D)</f>
        <v>0.2</v>
      </c>
      <c r="O303" s="36">
        <f t="shared" si="12"/>
        <v>302</v>
      </c>
      <c r="P303" s="10"/>
      <c r="Q303" s="10" t="s">
        <v>139</v>
      </c>
      <c r="R303" s="28" t="s">
        <v>153</v>
      </c>
      <c r="S303" s="26" t="s">
        <v>163</v>
      </c>
    </row>
    <row r="304" spans="1:19" x14ac:dyDescent="0.3">
      <c r="A304" s="33" t="s">
        <v>15</v>
      </c>
      <c r="B304" s="34" t="s">
        <v>59</v>
      </c>
      <c r="C304" s="35" t="s">
        <v>46</v>
      </c>
      <c r="D304" s="36">
        <v>2</v>
      </c>
      <c r="E304" s="36" t="s">
        <v>59</v>
      </c>
      <c r="F304" s="36" t="s">
        <v>118</v>
      </c>
      <c r="G304" s="36" t="s">
        <v>21</v>
      </c>
      <c r="H304" s="24">
        <f t="shared" si="14"/>
        <v>1500.01</v>
      </c>
      <c r="I304" s="24">
        <v>3000</v>
      </c>
      <c r="J304" s="27">
        <v>3.7627000000000002</v>
      </c>
      <c r="K304" s="37">
        <v>0</v>
      </c>
      <c r="L304" s="38">
        <v>46204</v>
      </c>
      <c r="M304" s="12">
        <v>9.2499999999999999E-2</v>
      </c>
      <c r="N304" s="11">
        <f>_xlfn.XLOOKUP(E304,ICMS!C:C,ICMS!D:D)</f>
        <v>0.2</v>
      </c>
      <c r="O304" s="36">
        <f t="shared" si="12"/>
        <v>303</v>
      </c>
      <c r="P304" s="10"/>
      <c r="Q304" s="10" t="s">
        <v>139</v>
      </c>
      <c r="R304" s="28" t="s">
        <v>153</v>
      </c>
      <c r="S304" s="26" t="s">
        <v>163</v>
      </c>
    </row>
    <row r="305" spans="1:19" x14ac:dyDescent="0.3">
      <c r="A305" s="33" t="s">
        <v>15</v>
      </c>
      <c r="B305" s="34" t="s">
        <v>59</v>
      </c>
      <c r="C305" s="35" t="s">
        <v>46</v>
      </c>
      <c r="D305" s="36">
        <v>3</v>
      </c>
      <c r="E305" s="36" t="s">
        <v>59</v>
      </c>
      <c r="F305" s="36" t="s">
        <v>118</v>
      </c>
      <c r="G305" s="36" t="s">
        <v>21</v>
      </c>
      <c r="H305" s="24">
        <f t="shared" si="14"/>
        <v>3000.01</v>
      </c>
      <c r="I305" s="24">
        <v>15000</v>
      </c>
      <c r="J305" s="27">
        <v>2.9891000000000001</v>
      </c>
      <c r="K305" s="37">
        <v>0</v>
      </c>
      <c r="L305" s="38">
        <v>46204</v>
      </c>
      <c r="M305" s="12">
        <v>9.2499999999999999E-2</v>
      </c>
      <c r="N305" s="11">
        <f>_xlfn.XLOOKUP(E305,ICMS!C:C,ICMS!D:D)</f>
        <v>0.2</v>
      </c>
      <c r="O305" s="36">
        <f t="shared" si="12"/>
        <v>304</v>
      </c>
      <c r="P305" s="10"/>
      <c r="Q305" s="10" t="s">
        <v>139</v>
      </c>
      <c r="R305" s="28" t="s">
        <v>153</v>
      </c>
      <c r="S305" s="26" t="s">
        <v>163</v>
      </c>
    </row>
    <row r="306" spans="1:19" x14ac:dyDescent="0.3">
      <c r="A306" s="33" t="s">
        <v>15</v>
      </c>
      <c r="B306" s="34" t="s">
        <v>59</v>
      </c>
      <c r="C306" s="35" t="s">
        <v>46</v>
      </c>
      <c r="D306" s="36">
        <v>4</v>
      </c>
      <c r="E306" s="36" t="s">
        <v>59</v>
      </c>
      <c r="F306" s="36" t="s">
        <v>118</v>
      </c>
      <c r="G306" s="36" t="s">
        <v>21</v>
      </c>
      <c r="H306" s="24">
        <f t="shared" si="14"/>
        <v>15000.01</v>
      </c>
      <c r="I306" s="24">
        <v>30000</v>
      </c>
      <c r="J306" s="27">
        <v>2.9323999999999999</v>
      </c>
      <c r="K306" s="37">
        <v>0</v>
      </c>
      <c r="L306" s="38">
        <v>46204</v>
      </c>
      <c r="M306" s="12">
        <v>9.2499999999999999E-2</v>
      </c>
      <c r="N306" s="11">
        <f>_xlfn.XLOOKUP(E306,ICMS!C:C,ICMS!D:D)</f>
        <v>0.2</v>
      </c>
      <c r="O306" s="36">
        <f t="shared" si="12"/>
        <v>305</v>
      </c>
      <c r="P306" s="10"/>
      <c r="Q306" s="10" t="s">
        <v>139</v>
      </c>
      <c r="R306" s="28" t="s">
        <v>153</v>
      </c>
      <c r="S306" s="26" t="s">
        <v>163</v>
      </c>
    </row>
    <row r="307" spans="1:19" x14ac:dyDescent="0.3">
      <c r="A307" s="33" t="s">
        <v>15</v>
      </c>
      <c r="B307" s="34" t="s">
        <v>59</v>
      </c>
      <c r="C307" s="35" t="s">
        <v>46</v>
      </c>
      <c r="D307" s="36">
        <v>5</v>
      </c>
      <c r="E307" s="36" t="s">
        <v>59</v>
      </c>
      <c r="F307" s="36" t="s">
        <v>118</v>
      </c>
      <c r="G307" s="36" t="s">
        <v>21</v>
      </c>
      <c r="H307" s="24">
        <f t="shared" si="14"/>
        <v>30000.01</v>
      </c>
      <c r="I307" s="24">
        <v>60000</v>
      </c>
      <c r="J307" s="27">
        <v>2.8329</v>
      </c>
      <c r="K307" s="37">
        <v>0</v>
      </c>
      <c r="L307" s="38">
        <v>46204</v>
      </c>
      <c r="M307" s="12">
        <v>9.2499999999999999E-2</v>
      </c>
      <c r="N307" s="11">
        <f>_xlfn.XLOOKUP(E307,ICMS!C:C,ICMS!D:D)</f>
        <v>0.2</v>
      </c>
      <c r="O307" s="36">
        <f t="shared" si="12"/>
        <v>306</v>
      </c>
      <c r="P307" s="10"/>
      <c r="Q307" s="10" t="s">
        <v>139</v>
      </c>
      <c r="R307" s="28" t="s">
        <v>153</v>
      </c>
      <c r="S307" s="26" t="s">
        <v>163</v>
      </c>
    </row>
    <row r="308" spans="1:19" x14ac:dyDescent="0.3">
      <c r="A308" s="33" t="s">
        <v>15</v>
      </c>
      <c r="B308" s="34" t="s">
        <v>59</v>
      </c>
      <c r="C308" s="35" t="s">
        <v>46</v>
      </c>
      <c r="D308" s="36">
        <v>6</v>
      </c>
      <c r="E308" s="36" t="s">
        <v>59</v>
      </c>
      <c r="F308" s="36" t="s">
        <v>118</v>
      </c>
      <c r="G308" s="36" t="s">
        <v>21</v>
      </c>
      <c r="H308" s="24">
        <f t="shared" si="14"/>
        <v>60000.01</v>
      </c>
      <c r="I308" s="24">
        <v>300000</v>
      </c>
      <c r="J308" s="27">
        <v>2.7145000000000001</v>
      </c>
      <c r="K308" s="37">
        <v>0</v>
      </c>
      <c r="L308" s="38">
        <v>46204</v>
      </c>
      <c r="M308" s="12">
        <v>9.2499999999999999E-2</v>
      </c>
      <c r="N308" s="11">
        <f>_xlfn.XLOOKUP(E308,ICMS!C:C,ICMS!D:D)</f>
        <v>0.2</v>
      </c>
      <c r="O308" s="36">
        <f t="shared" si="12"/>
        <v>307</v>
      </c>
      <c r="P308" s="10"/>
      <c r="Q308" s="10" t="s">
        <v>139</v>
      </c>
      <c r="R308" s="28" t="s">
        <v>153</v>
      </c>
      <c r="S308" s="26" t="s">
        <v>163</v>
      </c>
    </row>
    <row r="309" spans="1:19" x14ac:dyDescent="0.3">
      <c r="A309" s="33" t="s">
        <v>15</v>
      </c>
      <c r="B309" s="34" t="s">
        <v>59</v>
      </c>
      <c r="C309" s="35" t="s">
        <v>46</v>
      </c>
      <c r="D309" s="36">
        <v>7</v>
      </c>
      <c r="E309" s="36" t="s">
        <v>59</v>
      </c>
      <c r="F309" s="36" t="s">
        <v>118</v>
      </c>
      <c r="G309" s="36" t="s">
        <v>21</v>
      </c>
      <c r="H309" s="24">
        <f t="shared" si="14"/>
        <v>300000.01</v>
      </c>
      <c r="I309" s="24">
        <v>600000</v>
      </c>
      <c r="J309" s="27">
        <v>2.6560999999999999</v>
      </c>
      <c r="K309" s="37">
        <v>0</v>
      </c>
      <c r="L309" s="38">
        <v>46204</v>
      </c>
      <c r="M309" s="12">
        <v>9.2499999999999999E-2</v>
      </c>
      <c r="N309" s="11">
        <f>_xlfn.XLOOKUP(E309,ICMS!C:C,ICMS!D:D)</f>
        <v>0.2</v>
      </c>
      <c r="O309" s="36">
        <f t="shared" si="12"/>
        <v>308</v>
      </c>
      <c r="P309" s="10"/>
      <c r="Q309" s="10" t="s">
        <v>139</v>
      </c>
      <c r="R309" s="28" t="s">
        <v>153</v>
      </c>
      <c r="S309" s="26" t="s">
        <v>163</v>
      </c>
    </row>
    <row r="310" spans="1:19" x14ac:dyDescent="0.3">
      <c r="A310" s="33" t="s">
        <v>15</v>
      </c>
      <c r="B310" s="34" t="s">
        <v>59</v>
      </c>
      <c r="C310" s="35" t="s">
        <v>46</v>
      </c>
      <c r="D310" s="36">
        <v>8</v>
      </c>
      <c r="E310" s="36" t="s">
        <v>59</v>
      </c>
      <c r="F310" s="36" t="s">
        <v>118</v>
      </c>
      <c r="G310" s="36" t="s">
        <v>21</v>
      </c>
      <c r="H310" s="24">
        <f t="shared" si="14"/>
        <v>600000.01</v>
      </c>
      <c r="I310" s="24">
        <v>1500000</v>
      </c>
      <c r="J310" s="27">
        <v>2.6282000000000001</v>
      </c>
      <c r="K310" s="37">
        <v>0</v>
      </c>
      <c r="L310" s="38">
        <v>46204</v>
      </c>
      <c r="M310" s="12">
        <v>9.2499999999999999E-2</v>
      </c>
      <c r="N310" s="11">
        <f>_xlfn.XLOOKUP(E310,ICMS!C:C,ICMS!D:D)</f>
        <v>0.2</v>
      </c>
      <c r="O310" s="36">
        <f t="shared" si="12"/>
        <v>309</v>
      </c>
      <c r="P310" s="10"/>
      <c r="Q310" s="10" t="s">
        <v>139</v>
      </c>
      <c r="R310" s="28" t="s">
        <v>153</v>
      </c>
      <c r="S310" s="26" t="s">
        <v>163</v>
      </c>
    </row>
    <row r="311" spans="1:19" x14ac:dyDescent="0.3">
      <c r="A311" s="33" t="s">
        <v>15</v>
      </c>
      <c r="B311" s="34" t="s">
        <v>59</v>
      </c>
      <c r="C311" s="35" t="s">
        <v>46</v>
      </c>
      <c r="D311" s="36">
        <v>9</v>
      </c>
      <c r="E311" s="36" t="s">
        <v>59</v>
      </c>
      <c r="F311" s="36" t="s">
        <v>118</v>
      </c>
      <c r="G311" s="36" t="s">
        <v>21</v>
      </c>
      <c r="H311" s="24">
        <f t="shared" si="14"/>
        <v>1500000.01</v>
      </c>
      <c r="I311" s="24">
        <v>3000000</v>
      </c>
      <c r="J311" s="27">
        <v>2.6093000000000002</v>
      </c>
      <c r="K311" s="37">
        <v>0</v>
      </c>
      <c r="L311" s="38">
        <v>46204</v>
      </c>
      <c r="M311" s="12">
        <v>9.2499999999999999E-2</v>
      </c>
      <c r="N311" s="11">
        <f>_xlfn.XLOOKUP(E311,ICMS!C:C,ICMS!D:D)</f>
        <v>0.2</v>
      </c>
      <c r="O311" s="36">
        <f t="shared" si="12"/>
        <v>310</v>
      </c>
      <c r="P311" s="10"/>
      <c r="Q311" s="10" t="s">
        <v>139</v>
      </c>
      <c r="R311" s="28" t="s">
        <v>153</v>
      </c>
      <c r="S311" s="26" t="s">
        <v>163</v>
      </c>
    </row>
    <row r="312" spans="1:19" x14ac:dyDescent="0.3">
      <c r="A312" s="33" t="s">
        <v>15</v>
      </c>
      <c r="B312" s="34" t="s">
        <v>59</v>
      </c>
      <c r="C312" s="35" t="s">
        <v>46</v>
      </c>
      <c r="D312" s="36">
        <v>10</v>
      </c>
      <c r="E312" s="36" t="s">
        <v>59</v>
      </c>
      <c r="F312" s="36" t="s">
        <v>118</v>
      </c>
      <c r="G312" s="36" t="s">
        <v>21</v>
      </c>
      <c r="H312" s="24">
        <f t="shared" si="14"/>
        <v>3000000.01</v>
      </c>
      <c r="I312" s="24">
        <v>4500000</v>
      </c>
      <c r="J312" s="27">
        <v>2.5819999999999999</v>
      </c>
      <c r="K312" s="37">
        <v>0</v>
      </c>
      <c r="L312" s="38">
        <v>46204</v>
      </c>
      <c r="M312" s="12">
        <v>9.2499999999999999E-2</v>
      </c>
      <c r="N312" s="11">
        <f>_xlfn.XLOOKUP(E312,ICMS!C:C,ICMS!D:D)</f>
        <v>0.2</v>
      </c>
      <c r="O312" s="36">
        <f t="shared" si="12"/>
        <v>311</v>
      </c>
      <c r="P312" s="10"/>
      <c r="Q312" s="10" t="s">
        <v>139</v>
      </c>
      <c r="R312" s="28" t="s">
        <v>153</v>
      </c>
      <c r="S312" s="26" t="s">
        <v>163</v>
      </c>
    </row>
    <row r="313" spans="1:19" x14ac:dyDescent="0.3">
      <c r="A313" s="33" t="s">
        <v>15</v>
      </c>
      <c r="B313" s="34" t="s">
        <v>59</v>
      </c>
      <c r="C313" s="35" t="s">
        <v>46</v>
      </c>
      <c r="D313" s="36">
        <v>11</v>
      </c>
      <c r="E313" s="36" t="s">
        <v>59</v>
      </c>
      <c r="F313" s="36" t="s">
        <v>118</v>
      </c>
      <c r="G313" s="36" t="s">
        <v>21</v>
      </c>
      <c r="H313" s="24">
        <f t="shared" si="14"/>
        <v>4500000.01</v>
      </c>
      <c r="I313" s="24">
        <v>6000000</v>
      </c>
      <c r="J313" s="27">
        <v>2.5577000000000001</v>
      </c>
      <c r="K313" s="37">
        <v>0</v>
      </c>
      <c r="L313" s="38">
        <v>46204</v>
      </c>
      <c r="M313" s="12">
        <v>9.2499999999999999E-2</v>
      </c>
      <c r="N313" s="11">
        <f>_xlfn.XLOOKUP(E313,ICMS!C:C,ICMS!D:D)</f>
        <v>0.2</v>
      </c>
      <c r="O313" s="36">
        <f t="shared" si="12"/>
        <v>312</v>
      </c>
      <c r="P313" s="10"/>
      <c r="Q313" s="10" t="s">
        <v>139</v>
      </c>
      <c r="R313" s="28" t="s">
        <v>153</v>
      </c>
      <c r="S313" s="26" t="s">
        <v>163</v>
      </c>
    </row>
    <row r="314" spans="1:19" x14ac:dyDescent="0.3">
      <c r="A314" s="33" t="s">
        <v>15</v>
      </c>
      <c r="B314" s="34" t="s">
        <v>59</v>
      </c>
      <c r="C314" s="35" t="s">
        <v>46</v>
      </c>
      <c r="D314" s="36">
        <v>12</v>
      </c>
      <c r="E314" s="36" t="s">
        <v>59</v>
      </c>
      <c r="F314" s="36" t="s">
        <v>118</v>
      </c>
      <c r="G314" s="36" t="s">
        <v>21</v>
      </c>
      <c r="H314" s="24">
        <f t="shared" si="14"/>
        <v>6000000.0099999998</v>
      </c>
      <c r="I314" s="24">
        <v>99999999999</v>
      </c>
      <c r="J314" s="27">
        <v>2.5341</v>
      </c>
      <c r="K314" s="37">
        <v>0</v>
      </c>
      <c r="L314" s="38">
        <v>46204</v>
      </c>
      <c r="M314" s="12">
        <v>9.2499999999999999E-2</v>
      </c>
      <c r="N314" s="11">
        <f>_xlfn.XLOOKUP(E314,ICMS!C:C,ICMS!D:D)</f>
        <v>0.2</v>
      </c>
      <c r="O314" s="36">
        <f t="shared" si="12"/>
        <v>313</v>
      </c>
      <c r="P314" s="10"/>
      <c r="Q314" s="10" t="s">
        <v>139</v>
      </c>
      <c r="R314" s="28" t="s">
        <v>153</v>
      </c>
      <c r="S314" s="26" t="s">
        <v>163</v>
      </c>
    </row>
    <row r="315" spans="1:19" x14ac:dyDescent="0.3">
      <c r="A315" s="8" t="s">
        <v>18</v>
      </c>
      <c r="B315" s="9" t="s">
        <v>60</v>
      </c>
      <c r="C315" s="1" t="s">
        <v>46</v>
      </c>
      <c r="D315" s="10">
        <v>1</v>
      </c>
      <c r="E315" s="10" t="s">
        <v>60</v>
      </c>
      <c r="F315" s="10" t="s">
        <v>116</v>
      </c>
      <c r="G315" s="10" t="s">
        <v>113</v>
      </c>
      <c r="H315" s="18">
        <v>0</v>
      </c>
      <c r="I315" s="18">
        <v>20</v>
      </c>
      <c r="J315" s="19">
        <v>5.2377000000000002</v>
      </c>
      <c r="K315" s="22">
        <v>6.81</v>
      </c>
      <c r="L315" s="25">
        <v>46143</v>
      </c>
      <c r="M315" s="12">
        <v>9.2499999999999999E-2</v>
      </c>
      <c r="N315" s="11">
        <f>_xlfn.XLOOKUP(E315,ICMS!C:C,ICMS!D:D)</f>
        <v>0.12</v>
      </c>
      <c r="O315" s="36">
        <f t="shared" si="12"/>
        <v>314</v>
      </c>
      <c r="P315" s="10">
        <v>11</v>
      </c>
      <c r="Q315" s="10" t="s">
        <v>140</v>
      </c>
      <c r="R315" s="28" t="s">
        <v>154</v>
      </c>
      <c r="S315" s="26" t="s">
        <v>163</v>
      </c>
    </row>
    <row r="316" spans="1:19" x14ac:dyDescent="0.3">
      <c r="A316" s="8" t="s">
        <v>18</v>
      </c>
      <c r="B316" s="9" t="s">
        <v>60</v>
      </c>
      <c r="C316" s="1" t="s">
        <v>46</v>
      </c>
      <c r="D316" s="10">
        <v>2</v>
      </c>
      <c r="E316" s="10" t="s">
        <v>60</v>
      </c>
      <c r="F316" s="10" t="s">
        <v>116</v>
      </c>
      <c r="G316" s="10" t="s">
        <v>113</v>
      </c>
      <c r="H316" s="18">
        <f t="shared" si="14"/>
        <v>20.010000000000002</v>
      </c>
      <c r="I316" s="18">
        <v>100</v>
      </c>
      <c r="J316" s="19">
        <v>4.5989000000000004</v>
      </c>
      <c r="K316" s="22">
        <v>6.81</v>
      </c>
      <c r="L316" s="25">
        <v>46143</v>
      </c>
      <c r="M316" s="12">
        <v>9.2499999999999999E-2</v>
      </c>
      <c r="N316" s="11">
        <f>_xlfn.XLOOKUP(E316,ICMS!C:C,ICMS!D:D)</f>
        <v>0.12</v>
      </c>
      <c r="O316" s="36">
        <f t="shared" si="12"/>
        <v>315</v>
      </c>
      <c r="P316" s="10">
        <v>11</v>
      </c>
      <c r="Q316" s="10" t="s">
        <v>140</v>
      </c>
      <c r="R316" s="28" t="s">
        <v>154</v>
      </c>
      <c r="S316" s="26" t="s">
        <v>163</v>
      </c>
    </row>
    <row r="317" spans="1:19" x14ac:dyDescent="0.3">
      <c r="A317" s="8" t="s">
        <v>18</v>
      </c>
      <c r="B317" s="9" t="s">
        <v>60</v>
      </c>
      <c r="C317" s="1" t="s">
        <v>46</v>
      </c>
      <c r="D317" s="10">
        <v>3</v>
      </c>
      <c r="E317" s="10" t="s">
        <v>60</v>
      </c>
      <c r="F317" s="10" t="s">
        <v>116</v>
      </c>
      <c r="G317" s="10" t="s">
        <v>113</v>
      </c>
      <c r="H317" s="18">
        <f t="shared" si="14"/>
        <v>100.01</v>
      </c>
      <c r="I317" s="18">
        <v>850</v>
      </c>
      <c r="J317" s="19">
        <v>4.3177000000000003</v>
      </c>
      <c r="K317" s="22">
        <v>6.81</v>
      </c>
      <c r="L317" s="25">
        <v>46143</v>
      </c>
      <c r="M317" s="12">
        <v>9.2499999999999999E-2</v>
      </c>
      <c r="N317" s="11">
        <f>_xlfn.XLOOKUP(E317,ICMS!C:C,ICMS!D:D)</f>
        <v>0.12</v>
      </c>
      <c r="O317" s="36">
        <f t="shared" si="12"/>
        <v>316</v>
      </c>
      <c r="P317" s="10">
        <v>11</v>
      </c>
      <c r="Q317" s="10" t="s">
        <v>140</v>
      </c>
      <c r="R317" s="28" t="s">
        <v>154</v>
      </c>
      <c r="S317" s="26" t="s">
        <v>163</v>
      </c>
    </row>
    <row r="318" spans="1:19" x14ac:dyDescent="0.3">
      <c r="A318" s="8" t="s">
        <v>18</v>
      </c>
      <c r="B318" s="9" t="s">
        <v>60</v>
      </c>
      <c r="C318" s="1" t="s">
        <v>46</v>
      </c>
      <c r="D318" s="10">
        <v>4</v>
      </c>
      <c r="E318" s="10" t="s">
        <v>60</v>
      </c>
      <c r="F318" s="10" t="s">
        <v>116</v>
      </c>
      <c r="G318" s="10" t="s">
        <v>113</v>
      </c>
      <c r="H318" s="18">
        <f t="shared" si="14"/>
        <v>850.01</v>
      </c>
      <c r="I318" s="18">
        <v>2500</v>
      </c>
      <c r="J318" s="19">
        <v>4.1950000000000003</v>
      </c>
      <c r="K318" s="22">
        <v>6.81</v>
      </c>
      <c r="L318" s="25">
        <v>46143</v>
      </c>
      <c r="M318" s="12">
        <v>9.2499999999999999E-2</v>
      </c>
      <c r="N318" s="11">
        <f>_xlfn.XLOOKUP(E318,ICMS!C:C,ICMS!D:D)</f>
        <v>0.12</v>
      </c>
      <c r="O318" s="36">
        <f t="shared" si="12"/>
        <v>317</v>
      </c>
      <c r="P318" s="10">
        <v>11</v>
      </c>
      <c r="Q318" s="10" t="s">
        <v>140</v>
      </c>
      <c r="R318" s="28" t="s">
        <v>154</v>
      </c>
      <c r="S318" s="26" t="s">
        <v>163</v>
      </c>
    </row>
    <row r="319" spans="1:19" x14ac:dyDescent="0.3">
      <c r="A319" s="8" t="s">
        <v>18</v>
      </c>
      <c r="B319" s="9" t="s">
        <v>60</v>
      </c>
      <c r="C319" s="1" t="s">
        <v>46</v>
      </c>
      <c r="D319" s="10">
        <v>5</v>
      </c>
      <c r="E319" s="10" t="s">
        <v>60</v>
      </c>
      <c r="F319" s="10" t="s">
        <v>116</v>
      </c>
      <c r="G319" s="10" t="s">
        <v>113</v>
      </c>
      <c r="H319" s="18">
        <f t="shared" si="14"/>
        <v>2500.0100000000002</v>
      </c>
      <c r="I319" s="18">
        <v>99999999999</v>
      </c>
      <c r="J319" s="19">
        <v>4.1052999999999997</v>
      </c>
      <c r="K319" s="22">
        <v>6.81</v>
      </c>
      <c r="L319" s="25">
        <v>46143</v>
      </c>
      <c r="M319" s="12">
        <v>9.2499999999999999E-2</v>
      </c>
      <c r="N319" s="11">
        <f>_xlfn.XLOOKUP(E319,ICMS!C:C,ICMS!D:D)</f>
        <v>0.12</v>
      </c>
      <c r="O319" s="36">
        <f t="shared" si="12"/>
        <v>318</v>
      </c>
      <c r="P319" s="10">
        <v>11</v>
      </c>
      <c r="Q319" s="10" t="s">
        <v>140</v>
      </c>
      <c r="R319" s="28" t="s">
        <v>154</v>
      </c>
      <c r="S319" s="26" t="s">
        <v>163</v>
      </c>
    </row>
    <row r="320" spans="1:19" x14ac:dyDescent="0.3">
      <c r="A320" s="8" t="s">
        <v>8</v>
      </c>
      <c r="B320" s="9" t="s">
        <v>60</v>
      </c>
      <c r="C320" s="1" t="s">
        <v>46</v>
      </c>
      <c r="D320" s="10">
        <v>1</v>
      </c>
      <c r="E320" s="10" t="s">
        <v>60</v>
      </c>
      <c r="F320" s="10" t="s">
        <v>116</v>
      </c>
      <c r="G320" s="10" t="s">
        <v>113</v>
      </c>
      <c r="H320" s="18">
        <v>0</v>
      </c>
      <c r="I320" s="18">
        <v>20</v>
      </c>
      <c r="J320" s="19">
        <v>5.2377000000000002</v>
      </c>
      <c r="K320" s="22">
        <v>6.81</v>
      </c>
      <c r="L320" s="25">
        <v>46143</v>
      </c>
      <c r="M320" s="12">
        <v>9.2499999999999999E-2</v>
      </c>
      <c r="N320" s="11">
        <f>_xlfn.XLOOKUP(E320,ICMS!C:C,ICMS!D:D)</f>
        <v>0.12</v>
      </c>
      <c r="O320" s="36">
        <f t="shared" si="12"/>
        <v>319</v>
      </c>
      <c r="P320" s="10">
        <v>11</v>
      </c>
      <c r="Q320" s="10" t="s">
        <v>140</v>
      </c>
      <c r="R320" s="28" t="s">
        <v>154</v>
      </c>
      <c r="S320" s="26" t="s">
        <v>163</v>
      </c>
    </row>
    <row r="321" spans="1:19" x14ac:dyDescent="0.3">
      <c r="A321" s="8" t="s">
        <v>8</v>
      </c>
      <c r="B321" s="9" t="s">
        <v>60</v>
      </c>
      <c r="C321" s="1" t="s">
        <v>46</v>
      </c>
      <c r="D321" s="10">
        <v>2</v>
      </c>
      <c r="E321" s="10" t="s">
        <v>60</v>
      </c>
      <c r="F321" s="10" t="s">
        <v>116</v>
      </c>
      <c r="G321" s="10" t="s">
        <v>113</v>
      </c>
      <c r="H321" s="18">
        <f t="shared" si="14"/>
        <v>20.010000000000002</v>
      </c>
      <c r="I321" s="18">
        <v>100</v>
      </c>
      <c r="J321" s="19">
        <v>4.5989000000000004</v>
      </c>
      <c r="K321" s="22">
        <v>6.81</v>
      </c>
      <c r="L321" s="25">
        <v>46143</v>
      </c>
      <c r="M321" s="12">
        <v>9.2499999999999999E-2</v>
      </c>
      <c r="N321" s="11">
        <f>_xlfn.XLOOKUP(E321,ICMS!C:C,ICMS!D:D)</f>
        <v>0.12</v>
      </c>
      <c r="O321" s="36">
        <f t="shared" si="12"/>
        <v>320</v>
      </c>
      <c r="P321" s="10">
        <v>11</v>
      </c>
      <c r="Q321" s="10" t="s">
        <v>140</v>
      </c>
      <c r="R321" s="28" t="s">
        <v>154</v>
      </c>
      <c r="S321" s="26" t="s">
        <v>163</v>
      </c>
    </row>
    <row r="322" spans="1:19" x14ac:dyDescent="0.3">
      <c r="A322" s="8" t="s">
        <v>8</v>
      </c>
      <c r="B322" s="9" t="s">
        <v>60</v>
      </c>
      <c r="C322" s="1" t="s">
        <v>46</v>
      </c>
      <c r="D322" s="10">
        <v>3</v>
      </c>
      <c r="E322" s="10" t="s">
        <v>60</v>
      </c>
      <c r="F322" s="10" t="s">
        <v>116</v>
      </c>
      <c r="G322" s="10" t="s">
        <v>113</v>
      </c>
      <c r="H322" s="18">
        <f t="shared" si="14"/>
        <v>100.01</v>
      </c>
      <c r="I322" s="18">
        <v>850</v>
      </c>
      <c r="J322" s="19">
        <v>4.3177000000000003</v>
      </c>
      <c r="K322" s="22">
        <v>6.81</v>
      </c>
      <c r="L322" s="25">
        <v>46143</v>
      </c>
      <c r="M322" s="12">
        <v>9.2499999999999999E-2</v>
      </c>
      <c r="N322" s="11">
        <f>_xlfn.XLOOKUP(E322,ICMS!C:C,ICMS!D:D)</f>
        <v>0.12</v>
      </c>
      <c r="O322" s="36">
        <f t="shared" si="12"/>
        <v>321</v>
      </c>
      <c r="P322" s="10">
        <v>11</v>
      </c>
      <c r="Q322" s="10" t="s">
        <v>140</v>
      </c>
      <c r="R322" s="28" t="s">
        <v>154</v>
      </c>
      <c r="S322" s="26" t="s">
        <v>163</v>
      </c>
    </row>
    <row r="323" spans="1:19" x14ac:dyDescent="0.3">
      <c r="A323" s="8" t="s">
        <v>8</v>
      </c>
      <c r="B323" s="9" t="s">
        <v>60</v>
      </c>
      <c r="C323" s="1" t="s">
        <v>46</v>
      </c>
      <c r="D323" s="10">
        <v>4</v>
      </c>
      <c r="E323" s="10" t="s">
        <v>60</v>
      </c>
      <c r="F323" s="10" t="s">
        <v>116</v>
      </c>
      <c r="G323" s="10" t="s">
        <v>113</v>
      </c>
      <c r="H323" s="18">
        <f t="shared" si="14"/>
        <v>850.01</v>
      </c>
      <c r="I323" s="18">
        <v>2500</v>
      </c>
      <c r="J323" s="19">
        <v>4.1950000000000003</v>
      </c>
      <c r="K323" s="22">
        <v>6.81</v>
      </c>
      <c r="L323" s="25">
        <v>46143</v>
      </c>
      <c r="M323" s="12">
        <v>9.2499999999999999E-2</v>
      </c>
      <c r="N323" s="11">
        <f>_xlfn.XLOOKUP(E323,ICMS!C:C,ICMS!D:D)</f>
        <v>0.12</v>
      </c>
      <c r="O323" s="36">
        <f t="shared" si="12"/>
        <v>322</v>
      </c>
      <c r="P323" s="10">
        <v>11</v>
      </c>
      <c r="Q323" s="10" t="s">
        <v>140</v>
      </c>
      <c r="R323" s="28" t="s">
        <v>154</v>
      </c>
      <c r="S323" s="26" t="s">
        <v>163</v>
      </c>
    </row>
    <row r="324" spans="1:19" x14ac:dyDescent="0.3">
      <c r="A324" s="8" t="s">
        <v>8</v>
      </c>
      <c r="B324" s="9" t="s">
        <v>60</v>
      </c>
      <c r="C324" s="1" t="s">
        <v>46</v>
      </c>
      <c r="D324" s="10">
        <v>5</v>
      </c>
      <c r="E324" s="10" t="s">
        <v>60</v>
      </c>
      <c r="F324" s="10" t="s">
        <v>116</v>
      </c>
      <c r="G324" s="10" t="s">
        <v>113</v>
      </c>
      <c r="H324" s="18">
        <f t="shared" si="14"/>
        <v>2500.0100000000002</v>
      </c>
      <c r="I324" s="18">
        <v>99999999999</v>
      </c>
      <c r="J324" s="19">
        <v>4.1052999999999997</v>
      </c>
      <c r="K324" s="22">
        <v>6.81</v>
      </c>
      <c r="L324" s="25">
        <v>46143</v>
      </c>
      <c r="M324" s="12">
        <v>9.2499999999999999E-2</v>
      </c>
      <c r="N324" s="11">
        <f>_xlfn.XLOOKUP(E324,ICMS!C:C,ICMS!D:D)</f>
        <v>0.12</v>
      </c>
      <c r="O324" s="36">
        <f t="shared" ref="O324:O387" si="16">1+O323</f>
        <v>323</v>
      </c>
      <c r="P324" s="10">
        <v>11</v>
      </c>
      <c r="Q324" s="10" t="s">
        <v>140</v>
      </c>
      <c r="R324" s="28" t="s">
        <v>154</v>
      </c>
      <c r="S324" s="26" t="s">
        <v>163</v>
      </c>
    </row>
    <row r="325" spans="1:19" x14ac:dyDescent="0.3">
      <c r="A325" s="8" t="s">
        <v>13</v>
      </c>
      <c r="B325" s="9" t="s">
        <v>60</v>
      </c>
      <c r="C325" s="1" t="s">
        <v>46</v>
      </c>
      <c r="D325" s="10">
        <v>1</v>
      </c>
      <c r="E325" s="10" t="s">
        <v>60</v>
      </c>
      <c r="F325" s="10" t="s">
        <v>116</v>
      </c>
      <c r="G325" s="10" t="s">
        <v>114</v>
      </c>
      <c r="H325" s="18">
        <v>0</v>
      </c>
      <c r="I325" s="18">
        <v>450</v>
      </c>
      <c r="J325" s="19">
        <v>5.4564000000000004</v>
      </c>
      <c r="K325" s="22">
        <v>0</v>
      </c>
      <c r="L325" s="25">
        <v>46143</v>
      </c>
      <c r="M325" s="12">
        <v>9.2499999999999999E-2</v>
      </c>
      <c r="N325" s="11">
        <f>_xlfn.XLOOKUP(E325,ICMS!C:C,ICMS!D:D)</f>
        <v>0.12</v>
      </c>
      <c r="O325" s="36">
        <f t="shared" si="16"/>
        <v>324</v>
      </c>
      <c r="P325" s="10">
        <v>6</v>
      </c>
      <c r="Q325" s="10" t="s">
        <v>140</v>
      </c>
      <c r="R325" s="28" t="s">
        <v>154</v>
      </c>
      <c r="S325" s="26" t="s">
        <v>163</v>
      </c>
    </row>
    <row r="326" spans="1:19" x14ac:dyDescent="0.3">
      <c r="A326" s="8" t="s">
        <v>13</v>
      </c>
      <c r="B326" s="9" t="s">
        <v>60</v>
      </c>
      <c r="C326" s="1" t="s">
        <v>46</v>
      </c>
      <c r="D326" s="10">
        <v>2</v>
      </c>
      <c r="E326" s="10" t="s">
        <v>60</v>
      </c>
      <c r="F326" s="10" t="s">
        <v>116</v>
      </c>
      <c r="G326" s="10" t="s">
        <v>114</v>
      </c>
      <c r="H326" s="18">
        <f t="shared" si="14"/>
        <v>450.01</v>
      </c>
      <c r="I326" s="18">
        <v>1500</v>
      </c>
      <c r="J326" s="19">
        <v>3.0966</v>
      </c>
      <c r="K326" s="22">
        <v>0</v>
      </c>
      <c r="L326" s="25">
        <v>46143</v>
      </c>
      <c r="M326" s="12">
        <v>9.2499999999999999E-2</v>
      </c>
      <c r="N326" s="11">
        <f>_xlfn.XLOOKUP(E326,ICMS!C:C,ICMS!D:D)</f>
        <v>0.12</v>
      </c>
      <c r="O326" s="36">
        <f t="shared" si="16"/>
        <v>325</v>
      </c>
      <c r="P326" s="10">
        <v>6</v>
      </c>
      <c r="Q326" s="10" t="s">
        <v>140</v>
      </c>
      <c r="R326" s="28" t="s">
        <v>154</v>
      </c>
      <c r="S326" s="26" t="s">
        <v>163</v>
      </c>
    </row>
    <row r="327" spans="1:19" x14ac:dyDescent="0.3">
      <c r="A327" s="8" t="s">
        <v>13</v>
      </c>
      <c r="B327" s="9" t="s">
        <v>60</v>
      </c>
      <c r="C327" s="1" t="s">
        <v>46</v>
      </c>
      <c r="D327" s="10">
        <v>3</v>
      </c>
      <c r="E327" s="10" t="s">
        <v>60</v>
      </c>
      <c r="F327" s="10" t="s">
        <v>116</v>
      </c>
      <c r="G327" s="10" t="s">
        <v>114</v>
      </c>
      <c r="H327" s="18">
        <f t="shared" si="14"/>
        <v>1500.01</v>
      </c>
      <c r="I327" s="18">
        <v>4500</v>
      </c>
      <c r="J327" s="19">
        <v>2.8969999999999998</v>
      </c>
      <c r="K327" s="22">
        <v>0</v>
      </c>
      <c r="L327" s="25">
        <v>46143</v>
      </c>
      <c r="M327" s="12">
        <v>9.2499999999999999E-2</v>
      </c>
      <c r="N327" s="11">
        <f>_xlfn.XLOOKUP(E327,ICMS!C:C,ICMS!D:D)</f>
        <v>0.12</v>
      </c>
      <c r="O327" s="36">
        <f t="shared" si="16"/>
        <v>326</v>
      </c>
      <c r="P327" s="10">
        <v>6</v>
      </c>
      <c r="Q327" s="10" t="s">
        <v>140</v>
      </c>
      <c r="R327" s="28" t="s">
        <v>154</v>
      </c>
      <c r="S327" s="26" t="s">
        <v>163</v>
      </c>
    </row>
    <row r="328" spans="1:19" x14ac:dyDescent="0.3">
      <c r="A328" s="8" t="s">
        <v>13</v>
      </c>
      <c r="B328" s="9" t="s">
        <v>60</v>
      </c>
      <c r="C328" s="1" t="s">
        <v>46</v>
      </c>
      <c r="D328" s="10">
        <v>4</v>
      </c>
      <c r="E328" s="10" t="s">
        <v>60</v>
      </c>
      <c r="F328" s="10" t="s">
        <v>116</v>
      </c>
      <c r="G328" s="10" t="s">
        <v>114</v>
      </c>
      <c r="H328" s="18">
        <f t="shared" si="14"/>
        <v>4500.01</v>
      </c>
      <c r="I328" s="18">
        <v>15000</v>
      </c>
      <c r="J328" s="19">
        <v>2.7330000000000001</v>
      </c>
      <c r="K328" s="22">
        <v>0</v>
      </c>
      <c r="L328" s="25">
        <v>46143</v>
      </c>
      <c r="M328" s="12">
        <v>9.2499999999999999E-2</v>
      </c>
      <c r="N328" s="11">
        <f>_xlfn.XLOOKUP(E328,ICMS!C:C,ICMS!D:D)</f>
        <v>0.12</v>
      </c>
      <c r="O328" s="36">
        <f t="shared" si="16"/>
        <v>327</v>
      </c>
      <c r="P328" s="10">
        <v>6</v>
      </c>
      <c r="Q328" s="10" t="s">
        <v>140</v>
      </c>
      <c r="R328" s="28" t="s">
        <v>154</v>
      </c>
      <c r="S328" s="26" t="s">
        <v>163</v>
      </c>
    </row>
    <row r="329" spans="1:19" x14ac:dyDescent="0.3">
      <c r="A329" s="8" t="s">
        <v>13</v>
      </c>
      <c r="B329" s="9" t="s">
        <v>60</v>
      </c>
      <c r="C329" s="1" t="s">
        <v>46</v>
      </c>
      <c r="D329" s="10">
        <v>5</v>
      </c>
      <c r="E329" s="10" t="s">
        <v>60</v>
      </c>
      <c r="F329" s="10" t="s">
        <v>116</v>
      </c>
      <c r="G329" s="10" t="s">
        <v>114</v>
      </c>
      <c r="H329" s="18">
        <f t="shared" si="14"/>
        <v>15000.01</v>
      </c>
      <c r="I329" s="18">
        <v>30000</v>
      </c>
      <c r="J329" s="19">
        <v>2.7284000000000002</v>
      </c>
      <c r="K329" s="22">
        <v>0</v>
      </c>
      <c r="L329" s="25">
        <v>46143</v>
      </c>
      <c r="M329" s="12">
        <v>9.2499999999999999E-2</v>
      </c>
      <c r="N329" s="11">
        <f>_xlfn.XLOOKUP(E329,ICMS!C:C,ICMS!D:D)</f>
        <v>0.12</v>
      </c>
      <c r="O329" s="36">
        <f t="shared" si="16"/>
        <v>328</v>
      </c>
      <c r="P329" s="10">
        <v>6</v>
      </c>
      <c r="Q329" s="10" t="s">
        <v>140</v>
      </c>
      <c r="R329" s="28" t="s">
        <v>154</v>
      </c>
      <c r="S329" s="26" t="s">
        <v>163</v>
      </c>
    </row>
    <row r="330" spans="1:19" x14ac:dyDescent="0.3">
      <c r="A330" s="8" t="s">
        <v>13</v>
      </c>
      <c r="B330" s="9" t="s">
        <v>60</v>
      </c>
      <c r="C330" s="1" t="s">
        <v>46</v>
      </c>
      <c r="D330" s="10">
        <v>6</v>
      </c>
      <c r="E330" s="10" t="s">
        <v>60</v>
      </c>
      <c r="F330" s="10" t="s">
        <v>116</v>
      </c>
      <c r="G330" s="10" t="s">
        <v>114</v>
      </c>
      <c r="H330" s="18">
        <f t="shared" si="14"/>
        <v>30000.01</v>
      </c>
      <c r="I330" s="18">
        <v>180000</v>
      </c>
      <c r="J330" s="19">
        <v>2.6488</v>
      </c>
      <c r="K330" s="22">
        <v>0</v>
      </c>
      <c r="L330" s="25">
        <v>46143</v>
      </c>
      <c r="M330" s="12">
        <v>9.2499999999999999E-2</v>
      </c>
      <c r="N330" s="11">
        <f>_xlfn.XLOOKUP(E330,ICMS!C:C,ICMS!D:D)</f>
        <v>0.12</v>
      </c>
      <c r="O330" s="36">
        <f t="shared" si="16"/>
        <v>329</v>
      </c>
      <c r="P330" s="10">
        <v>6</v>
      </c>
      <c r="Q330" s="10" t="s">
        <v>140</v>
      </c>
      <c r="R330" s="28" t="s">
        <v>154</v>
      </c>
      <c r="S330" s="26" t="s">
        <v>163</v>
      </c>
    </row>
    <row r="331" spans="1:19" x14ac:dyDescent="0.3">
      <c r="A331" s="8" t="s">
        <v>13</v>
      </c>
      <c r="B331" s="9" t="s">
        <v>60</v>
      </c>
      <c r="C331" s="1" t="s">
        <v>46</v>
      </c>
      <c r="D331" s="10">
        <v>7</v>
      </c>
      <c r="E331" s="10" t="s">
        <v>60</v>
      </c>
      <c r="F331" s="10" t="s">
        <v>116</v>
      </c>
      <c r="G331" s="10" t="s">
        <v>114</v>
      </c>
      <c r="H331" s="18">
        <f t="shared" si="14"/>
        <v>180000.01</v>
      </c>
      <c r="I331" s="18">
        <v>360000</v>
      </c>
      <c r="J331" s="19">
        <v>2.5956000000000001</v>
      </c>
      <c r="K331" s="22">
        <v>0</v>
      </c>
      <c r="L331" s="25">
        <v>46143</v>
      </c>
      <c r="M331" s="12">
        <v>9.2499999999999999E-2</v>
      </c>
      <c r="N331" s="11">
        <f>_xlfn.XLOOKUP(E331,ICMS!C:C,ICMS!D:D)</f>
        <v>0.12</v>
      </c>
      <c r="O331" s="36">
        <f t="shared" si="16"/>
        <v>330</v>
      </c>
      <c r="P331" s="10">
        <v>6</v>
      </c>
      <c r="Q331" s="10" t="s">
        <v>140</v>
      </c>
      <c r="R331" s="28" t="s">
        <v>154</v>
      </c>
      <c r="S331" s="26" t="s">
        <v>163</v>
      </c>
    </row>
    <row r="332" spans="1:19" x14ac:dyDescent="0.3">
      <c r="A332" s="8" t="s">
        <v>13</v>
      </c>
      <c r="B332" s="9" t="s">
        <v>60</v>
      </c>
      <c r="C332" s="1" t="s">
        <v>46</v>
      </c>
      <c r="D332" s="10">
        <v>8</v>
      </c>
      <c r="E332" s="10" t="s">
        <v>60</v>
      </c>
      <c r="F332" s="10" t="s">
        <v>116</v>
      </c>
      <c r="G332" s="10" t="s">
        <v>114</v>
      </c>
      <c r="H332" s="18">
        <f t="shared" si="14"/>
        <v>360000.01</v>
      </c>
      <c r="I332" s="18">
        <v>600000</v>
      </c>
      <c r="J332" s="19">
        <v>2.5177</v>
      </c>
      <c r="K332" s="22">
        <v>0</v>
      </c>
      <c r="L332" s="25">
        <v>46143</v>
      </c>
      <c r="M332" s="12">
        <v>9.2499999999999999E-2</v>
      </c>
      <c r="N332" s="11">
        <f>_xlfn.XLOOKUP(E332,ICMS!C:C,ICMS!D:D)</f>
        <v>0.12</v>
      </c>
      <c r="O332" s="36">
        <f t="shared" si="16"/>
        <v>331</v>
      </c>
      <c r="P332" s="10">
        <v>6</v>
      </c>
      <c r="Q332" s="10" t="s">
        <v>140</v>
      </c>
      <c r="R332" s="28" t="s">
        <v>154</v>
      </c>
      <c r="S332" s="26" t="s">
        <v>163</v>
      </c>
    </row>
    <row r="333" spans="1:19" x14ac:dyDescent="0.3">
      <c r="A333" s="8" t="s">
        <v>13</v>
      </c>
      <c r="B333" s="9" t="s">
        <v>60</v>
      </c>
      <c r="C333" s="1" t="s">
        <v>46</v>
      </c>
      <c r="D333" s="10">
        <v>9</v>
      </c>
      <c r="E333" s="10" t="s">
        <v>60</v>
      </c>
      <c r="F333" s="10" t="s">
        <v>116</v>
      </c>
      <c r="G333" s="10" t="s">
        <v>114</v>
      </c>
      <c r="H333" s="18">
        <f t="shared" si="14"/>
        <v>600000.01</v>
      </c>
      <c r="I333" s="18">
        <v>1050000</v>
      </c>
      <c r="J333" s="19">
        <v>2.4643999999999999</v>
      </c>
      <c r="K333" s="22">
        <v>0</v>
      </c>
      <c r="L333" s="25">
        <v>46143</v>
      </c>
      <c r="M333" s="12">
        <v>9.2499999999999999E-2</v>
      </c>
      <c r="N333" s="11">
        <f>_xlfn.XLOOKUP(E333,ICMS!C:C,ICMS!D:D)</f>
        <v>0.12</v>
      </c>
      <c r="O333" s="36">
        <f t="shared" si="16"/>
        <v>332</v>
      </c>
      <c r="P333" s="10">
        <v>6</v>
      </c>
      <c r="Q333" s="10" t="s">
        <v>140</v>
      </c>
      <c r="R333" s="28" t="s">
        <v>154</v>
      </c>
      <c r="S333" s="26" t="s">
        <v>163</v>
      </c>
    </row>
    <row r="334" spans="1:19" x14ac:dyDescent="0.3">
      <c r="A334" s="8" t="s">
        <v>13</v>
      </c>
      <c r="B334" s="9" t="s">
        <v>60</v>
      </c>
      <c r="C334" s="1" t="s">
        <v>46</v>
      </c>
      <c r="D334" s="10">
        <v>10</v>
      </c>
      <c r="E334" s="10" t="s">
        <v>60</v>
      </c>
      <c r="F334" s="10" t="s">
        <v>116</v>
      </c>
      <c r="G334" s="10" t="s">
        <v>114</v>
      </c>
      <c r="H334" s="18">
        <f t="shared" si="14"/>
        <v>1050000.01</v>
      </c>
      <c r="I334" s="18">
        <v>1800000</v>
      </c>
      <c r="J334" s="19">
        <v>2.4173</v>
      </c>
      <c r="K334" s="22">
        <v>0</v>
      </c>
      <c r="L334" s="25">
        <v>46143</v>
      </c>
      <c r="M334" s="12">
        <v>9.2499999999999999E-2</v>
      </c>
      <c r="N334" s="11">
        <f>_xlfn.XLOOKUP(E334,ICMS!C:C,ICMS!D:D)</f>
        <v>0.12</v>
      </c>
      <c r="O334" s="36">
        <f t="shared" si="16"/>
        <v>333</v>
      </c>
      <c r="P334" s="10">
        <v>6</v>
      </c>
      <c r="Q334" s="10" t="s">
        <v>140</v>
      </c>
      <c r="R334" s="28" t="s">
        <v>154</v>
      </c>
      <c r="S334" s="26" t="s">
        <v>163</v>
      </c>
    </row>
    <row r="335" spans="1:19" x14ac:dyDescent="0.3">
      <c r="A335" s="8" t="s">
        <v>13</v>
      </c>
      <c r="B335" s="9" t="s">
        <v>60</v>
      </c>
      <c r="C335" s="1" t="s">
        <v>46</v>
      </c>
      <c r="D335" s="10">
        <v>11</v>
      </c>
      <c r="E335" s="10" t="s">
        <v>60</v>
      </c>
      <c r="F335" s="10" t="s">
        <v>116</v>
      </c>
      <c r="G335" s="10" t="s">
        <v>114</v>
      </c>
      <c r="H335" s="18">
        <f t="shared" si="14"/>
        <v>1800000.01</v>
      </c>
      <c r="I335" s="18">
        <v>30000000</v>
      </c>
      <c r="J335" s="19">
        <v>2.3818999999999999</v>
      </c>
      <c r="K335" s="22">
        <v>0</v>
      </c>
      <c r="L335" s="25">
        <v>46143</v>
      </c>
      <c r="M335" s="12">
        <v>9.2499999999999999E-2</v>
      </c>
      <c r="N335" s="11">
        <f>_xlfn.XLOOKUP(E335,ICMS!C:C,ICMS!D:D)</f>
        <v>0.12</v>
      </c>
      <c r="O335" s="36">
        <f t="shared" si="16"/>
        <v>334</v>
      </c>
      <c r="P335" s="10">
        <v>6</v>
      </c>
      <c r="Q335" s="10" t="s">
        <v>140</v>
      </c>
      <c r="R335" s="28" t="s">
        <v>154</v>
      </c>
      <c r="S335" s="26" t="s">
        <v>163</v>
      </c>
    </row>
    <row r="336" spans="1:19" x14ac:dyDescent="0.3">
      <c r="A336" s="8" t="s">
        <v>13</v>
      </c>
      <c r="B336" s="9" t="s">
        <v>60</v>
      </c>
      <c r="C336" s="1" t="s">
        <v>46</v>
      </c>
      <c r="D336" s="10">
        <v>12</v>
      </c>
      <c r="E336" s="10" t="s">
        <v>60</v>
      </c>
      <c r="F336" s="10" t="s">
        <v>116</v>
      </c>
      <c r="G336" s="10" t="s">
        <v>114</v>
      </c>
      <c r="H336" s="18">
        <f t="shared" si="14"/>
        <v>30000000.010000002</v>
      </c>
      <c r="I336" s="18">
        <v>99999999999</v>
      </c>
      <c r="J336" s="19">
        <v>2.2913000000000001</v>
      </c>
      <c r="K336" s="22">
        <v>0</v>
      </c>
      <c r="L336" s="25">
        <v>46143</v>
      </c>
      <c r="M336" s="12">
        <v>9.2499999999999999E-2</v>
      </c>
      <c r="N336" s="11">
        <f>_xlfn.XLOOKUP(E336,ICMS!C:C,ICMS!D:D)</f>
        <v>0.12</v>
      </c>
      <c r="O336" s="36">
        <f t="shared" si="16"/>
        <v>335</v>
      </c>
      <c r="P336" s="10">
        <v>6</v>
      </c>
      <c r="Q336" s="10" t="s">
        <v>140</v>
      </c>
      <c r="R336" s="28" t="s">
        <v>154</v>
      </c>
      <c r="S336" s="26" t="s">
        <v>163</v>
      </c>
    </row>
    <row r="337" spans="1:19" x14ac:dyDescent="0.3">
      <c r="A337" s="8" t="s">
        <v>15</v>
      </c>
      <c r="B337" s="9" t="s">
        <v>60</v>
      </c>
      <c r="C337" s="1" t="s">
        <v>46</v>
      </c>
      <c r="D337" s="10">
        <v>1</v>
      </c>
      <c r="E337" s="10" t="s">
        <v>60</v>
      </c>
      <c r="F337" s="10" t="s">
        <v>116</v>
      </c>
      <c r="G337" s="10" t="s">
        <v>115</v>
      </c>
      <c r="H337" s="18">
        <v>0</v>
      </c>
      <c r="I337" s="18">
        <v>450</v>
      </c>
      <c r="J337" s="19">
        <v>4.8672000000000004</v>
      </c>
      <c r="K337" s="22">
        <v>0</v>
      </c>
      <c r="L337" s="25">
        <v>46143</v>
      </c>
      <c r="M337" s="12">
        <v>9.2499999999999999E-2</v>
      </c>
      <c r="N337" s="11">
        <f>_xlfn.XLOOKUP(E337,ICMS!C:C,ICMS!D:D)</f>
        <v>0.12</v>
      </c>
      <c r="O337" s="36">
        <f t="shared" si="16"/>
        <v>336</v>
      </c>
      <c r="P337" s="10">
        <v>1</v>
      </c>
      <c r="Q337" s="10" t="s">
        <v>140</v>
      </c>
      <c r="R337" s="28" t="s">
        <v>154</v>
      </c>
      <c r="S337" s="26" t="s">
        <v>163</v>
      </c>
    </row>
    <row r="338" spans="1:19" x14ac:dyDescent="0.3">
      <c r="A338" s="8" t="s">
        <v>15</v>
      </c>
      <c r="B338" s="9" t="s">
        <v>60</v>
      </c>
      <c r="C338" s="1" t="s">
        <v>46</v>
      </c>
      <c r="D338" s="10">
        <v>2</v>
      </c>
      <c r="E338" s="10" t="s">
        <v>60</v>
      </c>
      <c r="F338" s="10" t="s">
        <v>116</v>
      </c>
      <c r="G338" s="10" t="s">
        <v>115</v>
      </c>
      <c r="H338" s="18">
        <f t="shared" si="14"/>
        <v>450.01</v>
      </c>
      <c r="I338" s="18">
        <v>1500</v>
      </c>
      <c r="J338" s="19">
        <v>2.8906999999999998</v>
      </c>
      <c r="K338" s="22">
        <v>0</v>
      </c>
      <c r="L338" s="25">
        <v>46143</v>
      </c>
      <c r="M338" s="12">
        <v>9.2499999999999999E-2</v>
      </c>
      <c r="N338" s="11">
        <f>_xlfn.XLOOKUP(E338,ICMS!C:C,ICMS!D:D)</f>
        <v>0.12</v>
      </c>
      <c r="O338" s="36">
        <f t="shared" si="16"/>
        <v>337</v>
      </c>
      <c r="P338" s="10">
        <v>1</v>
      </c>
      <c r="Q338" s="10" t="s">
        <v>140</v>
      </c>
      <c r="R338" s="28" t="s">
        <v>154</v>
      </c>
      <c r="S338" s="26" t="s">
        <v>163</v>
      </c>
    </row>
    <row r="339" spans="1:19" x14ac:dyDescent="0.3">
      <c r="A339" s="8" t="s">
        <v>15</v>
      </c>
      <c r="B339" s="9" t="s">
        <v>60</v>
      </c>
      <c r="C339" s="1" t="s">
        <v>46</v>
      </c>
      <c r="D339" s="10">
        <v>3</v>
      </c>
      <c r="E339" s="10" t="s">
        <v>60</v>
      </c>
      <c r="F339" s="10" t="s">
        <v>116</v>
      </c>
      <c r="G339" s="10" t="s">
        <v>115</v>
      </c>
      <c r="H339" s="18">
        <f t="shared" si="14"/>
        <v>1500.01</v>
      </c>
      <c r="I339" s="18">
        <v>4500</v>
      </c>
      <c r="J339" s="19">
        <v>2.7235999999999998</v>
      </c>
      <c r="K339" s="22">
        <v>0</v>
      </c>
      <c r="L339" s="25">
        <v>46143</v>
      </c>
      <c r="M339" s="12">
        <v>9.2499999999999999E-2</v>
      </c>
      <c r="N339" s="11">
        <f>_xlfn.XLOOKUP(E339,ICMS!C:C,ICMS!D:D)</f>
        <v>0.12</v>
      </c>
      <c r="O339" s="36">
        <f t="shared" si="16"/>
        <v>338</v>
      </c>
      <c r="P339" s="10">
        <v>1</v>
      </c>
      <c r="Q339" s="10" t="s">
        <v>140</v>
      </c>
      <c r="R339" s="28" t="s">
        <v>154</v>
      </c>
      <c r="S339" s="26" t="s">
        <v>163</v>
      </c>
    </row>
    <row r="340" spans="1:19" x14ac:dyDescent="0.3">
      <c r="A340" s="8" t="s">
        <v>15</v>
      </c>
      <c r="B340" s="9" t="s">
        <v>60</v>
      </c>
      <c r="C340" s="1" t="s">
        <v>46</v>
      </c>
      <c r="D340" s="10">
        <v>4</v>
      </c>
      <c r="E340" s="10" t="s">
        <v>60</v>
      </c>
      <c r="F340" s="10" t="s">
        <v>116</v>
      </c>
      <c r="G340" s="10" t="s">
        <v>115</v>
      </c>
      <c r="H340" s="18">
        <f t="shared" si="14"/>
        <v>4500.01</v>
      </c>
      <c r="I340" s="18">
        <v>15000</v>
      </c>
      <c r="J340" s="19">
        <v>2.6404000000000001</v>
      </c>
      <c r="K340" s="22">
        <v>0</v>
      </c>
      <c r="L340" s="25">
        <v>46143</v>
      </c>
      <c r="M340" s="12">
        <v>9.2499999999999999E-2</v>
      </c>
      <c r="N340" s="11">
        <f>_xlfn.XLOOKUP(E340,ICMS!C:C,ICMS!D:D)</f>
        <v>0.12</v>
      </c>
      <c r="O340" s="36">
        <f t="shared" si="16"/>
        <v>339</v>
      </c>
      <c r="P340" s="10">
        <v>1</v>
      </c>
      <c r="Q340" s="10" t="s">
        <v>140</v>
      </c>
      <c r="R340" s="28" t="s">
        <v>154</v>
      </c>
      <c r="S340" s="26" t="s">
        <v>163</v>
      </c>
    </row>
    <row r="341" spans="1:19" x14ac:dyDescent="0.3">
      <c r="A341" s="8" t="s">
        <v>15</v>
      </c>
      <c r="B341" s="9" t="s">
        <v>60</v>
      </c>
      <c r="C341" s="1" t="s">
        <v>46</v>
      </c>
      <c r="D341" s="10">
        <v>5</v>
      </c>
      <c r="E341" s="10" t="s">
        <v>60</v>
      </c>
      <c r="F341" s="10" t="s">
        <v>116</v>
      </c>
      <c r="G341" s="10" t="s">
        <v>115</v>
      </c>
      <c r="H341" s="18">
        <f t="shared" si="14"/>
        <v>15000.01</v>
      </c>
      <c r="I341" s="18">
        <v>30000</v>
      </c>
      <c r="J341" s="19">
        <v>2.5829</v>
      </c>
      <c r="K341" s="22">
        <v>0</v>
      </c>
      <c r="L341" s="25">
        <v>46143</v>
      </c>
      <c r="M341" s="12">
        <v>9.2499999999999999E-2</v>
      </c>
      <c r="N341" s="11">
        <f>_xlfn.XLOOKUP(E341,ICMS!C:C,ICMS!D:D)</f>
        <v>0.12</v>
      </c>
      <c r="O341" s="36">
        <f t="shared" si="16"/>
        <v>340</v>
      </c>
      <c r="P341" s="10">
        <v>1</v>
      </c>
      <c r="Q341" s="10" t="s">
        <v>140</v>
      </c>
      <c r="R341" s="28" t="s">
        <v>154</v>
      </c>
      <c r="S341" s="26" t="s">
        <v>163</v>
      </c>
    </row>
    <row r="342" spans="1:19" x14ac:dyDescent="0.3">
      <c r="A342" s="8" t="s">
        <v>15</v>
      </c>
      <c r="B342" s="9" t="s">
        <v>60</v>
      </c>
      <c r="C342" s="1" t="s">
        <v>46</v>
      </c>
      <c r="D342" s="10">
        <v>6</v>
      </c>
      <c r="E342" s="10" t="s">
        <v>60</v>
      </c>
      <c r="F342" s="10" t="s">
        <v>116</v>
      </c>
      <c r="G342" s="10" t="s">
        <v>115</v>
      </c>
      <c r="H342" s="18">
        <f t="shared" si="14"/>
        <v>30000.01</v>
      </c>
      <c r="I342" s="18">
        <v>180000</v>
      </c>
      <c r="J342" s="19">
        <v>2.5163000000000002</v>
      </c>
      <c r="K342" s="22">
        <v>0</v>
      </c>
      <c r="L342" s="25">
        <v>46143</v>
      </c>
      <c r="M342" s="12">
        <v>9.2499999999999999E-2</v>
      </c>
      <c r="N342" s="11">
        <f>_xlfn.XLOOKUP(E342,ICMS!C:C,ICMS!D:D)</f>
        <v>0.12</v>
      </c>
      <c r="O342" s="36">
        <f t="shared" si="16"/>
        <v>341</v>
      </c>
      <c r="P342" s="10">
        <v>1</v>
      </c>
      <c r="Q342" s="10" t="s">
        <v>140</v>
      </c>
      <c r="R342" s="28" t="s">
        <v>154</v>
      </c>
      <c r="S342" s="26" t="s">
        <v>163</v>
      </c>
    </row>
    <row r="343" spans="1:19" x14ac:dyDescent="0.3">
      <c r="A343" s="8" t="s">
        <v>15</v>
      </c>
      <c r="B343" s="9" t="s">
        <v>60</v>
      </c>
      <c r="C343" s="1" t="s">
        <v>46</v>
      </c>
      <c r="D343" s="10">
        <v>7</v>
      </c>
      <c r="E343" s="10" t="s">
        <v>60</v>
      </c>
      <c r="F343" s="10" t="s">
        <v>116</v>
      </c>
      <c r="G343" s="10" t="s">
        <v>115</v>
      </c>
      <c r="H343" s="18">
        <f t="shared" si="14"/>
        <v>180000.01</v>
      </c>
      <c r="I343" s="18">
        <v>360000</v>
      </c>
      <c r="J343" s="19">
        <v>2.4820000000000002</v>
      </c>
      <c r="K343" s="22">
        <v>0</v>
      </c>
      <c r="L343" s="25">
        <v>46143</v>
      </c>
      <c r="M343" s="12">
        <v>9.2499999999999999E-2</v>
      </c>
      <c r="N343" s="11">
        <f>_xlfn.XLOOKUP(E343,ICMS!C:C,ICMS!D:D)</f>
        <v>0.12</v>
      </c>
      <c r="O343" s="36">
        <f t="shared" si="16"/>
        <v>342</v>
      </c>
      <c r="P343" s="10">
        <v>1</v>
      </c>
      <c r="Q343" s="10" t="s">
        <v>140</v>
      </c>
      <c r="R343" s="28" t="s">
        <v>154</v>
      </c>
      <c r="S343" s="26" t="s">
        <v>163</v>
      </c>
    </row>
    <row r="344" spans="1:19" x14ac:dyDescent="0.3">
      <c r="A344" s="8" t="s">
        <v>15</v>
      </c>
      <c r="B344" s="9" t="s">
        <v>60</v>
      </c>
      <c r="C344" s="1" t="s">
        <v>46</v>
      </c>
      <c r="D344" s="10">
        <v>8</v>
      </c>
      <c r="E344" s="10" t="s">
        <v>60</v>
      </c>
      <c r="F344" s="10" t="s">
        <v>116</v>
      </c>
      <c r="G344" s="10" t="s">
        <v>115</v>
      </c>
      <c r="H344" s="18">
        <f t="shared" si="14"/>
        <v>360000.01</v>
      </c>
      <c r="I344" s="18">
        <v>600000</v>
      </c>
      <c r="J344" s="19">
        <v>2.4188000000000001</v>
      </c>
      <c r="K344" s="22">
        <v>0</v>
      </c>
      <c r="L344" s="25">
        <v>46143</v>
      </c>
      <c r="M344" s="12">
        <v>9.2499999999999999E-2</v>
      </c>
      <c r="N344" s="11">
        <f>_xlfn.XLOOKUP(E344,ICMS!C:C,ICMS!D:D)</f>
        <v>0.12</v>
      </c>
      <c r="O344" s="36">
        <f t="shared" si="16"/>
        <v>343</v>
      </c>
      <c r="P344" s="10">
        <v>1</v>
      </c>
      <c r="Q344" s="10" t="s">
        <v>140</v>
      </c>
      <c r="R344" s="28" t="s">
        <v>154</v>
      </c>
      <c r="S344" s="26" t="s">
        <v>163</v>
      </c>
    </row>
    <row r="345" spans="1:19" x14ac:dyDescent="0.3">
      <c r="A345" s="8" t="s">
        <v>15</v>
      </c>
      <c r="B345" s="9" t="s">
        <v>60</v>
      </c>
      <c r="C345" s="1" t="s">
        <v>46</v>
      </c>
      <c r="D345" s="10">
        <v>9</v>
      </c>
      <c r="E345" s="10" t="s">
        <v>60</v>
      </c>
      <c r="F345" s="10" t="s">
        <v>116</v>
      </c>
      <c r="G345" s="10" t="s">
        <v>115</v>
      </c>
      <c r="H345" s="18">
        <f t="shared" si="14"/>
        <v>600000.01</v>
      </c>
      <c r="I345" s="18">
        <v>1050000</v>
      </c>
      <c r="J345" s="19">
        <v>2.3862000000000001</v>
      </c>
      <c r="K345" s="22">
        <v>0</v>
      </c>
      <c r="L345" s="25">
        <v>46143</v>
      </c>
      <c r="M345" s="12">
        <v>9.2499999999999999E-2</v>
      </c>
      <c r="N345" s="11">
        <f>_xlfn.XLOOKUP(E345,ICMS!C:C,ICMS!D:D)</f>
        <v>0.12</v>
      </c>
      <c r="O345" s="36">
        <f t="shared" si="16"/>
        <v>344</v>
      </c>
      <c r="P345" s="10">
        <v>1</v>
      </c>
      <c r="Q345" s="10" t="s">
        <v>140</v>
      </c>
      <c r="R345" s="28" t="s">
        <v>154</v>
      </c>
      <c r="S345" s="26" t="s">
        <v>163</v>
      </c>
    </row>
    <row r="346" spans="1:19" x14ac:dyDescent="0.3">
      <c r="A346" s="8" t="s">
        <v>15</v>
      </c>
      <c r="B346" s="9" t="s">
        <v>60</v>
      </c>
      <c r="C346" s="1" t="s">
        <v>46</v>
      </c>
      <c r="D346" s="10">
        <v>10</v>
      </c>
      <c r="E346" s="10" t="s">
        <v>60</v>
      </c>
      <c r="F346" s="10" t="s">
        <v>116</v>
      </c>
      <c r="G346" s="10" t="s">
        <v>115</v>
      </c>
      <c r="H346" s="18">
        <f t="shared" si="14"/>
        <v>1050000.01</v>
      </c>
      <c r="I346" s="18">
        <v>1800000</v>
      </c>
      <c r="J346" s="19">
        <v>2.3494000000000002</v>
      </c>
      <c r="K346" s="22">
        <v>0</v>
      </c>
      <c r="L346" s="25">
        <v>46143</v>
      </c>
      <c r="M346" s="12">
        <v>9.2499999999999999E-2</v>
      </c>
      <c r="N346" s="11">
        <f>_xlfn.XLOOKUP(E346,ICMS!C:C,ICMS!D:D)</f>
        <v>0.12</v>
      </c>
      <c r="O346" s="36">
        <f t="shared" si="16"/>
        <v>345</v>
      </c>
      <c r="P346" s="10">
        <v>1</v>
      </c>
      <c r="Q346" s="10" t="s">
        <v>140</v>
      </c>
      <c r="R346" s="28" t="s">
        <v>154</v>
      </c>
      <c r="S346" s="26" t="s">
        <v>163</v>
      </c>
    </row>
    <row r="347" spans="1:19" x14ac:dyDescent="0.3">
      <c r="A347" s="8" t="s">
        <v>15</v>
      </c>
      <c r="B347" s="9" t="s">
        <v>60</v>
      </c>
      <c r="C347" s="1" t="s">
        <v>46</v>
      </c>
      <c r="D347" s="10">
        <v>11</v>
      </c>
      <c r="E347" s="10" t="s">
        <v>60</v>
      </c>
      <c r="F347" s="10" t="s">
        <v>116</v>
      </c>
      <c r="G347" s="10" t="s">
        <v>115</v>
      </c>
      <c r="H347" s="18">
        <f t="shared" si="14"/>
        <v>1800000.01</v>
      </c>
      <c r="I347" s="18">
        <v>12000000</v>
      </c>
      <c r="J347" s="19">
        <v>2.2932999999999999</v>
      </c>
      <c r="K347" s="22">
        <v>0</v>
      </c>
      <c r="L347" s="25">
        <v>46143</v>
      </c>
      <c r="M347" s="12">
        <v>9.2499999999999999E-2</v>
      </c>
      <c r="N347" s="11">
        <f>_xlfn.XLOOKUP(E347,ICMS!C:C,ICMS!D:D)</f>
        <v>0.12</v>
      </c>
      <c r="O347" s="36">
        <f t="shared" si="16"/>
        <v>346</v>
      </c>
      <c r="P347" s="10">
        <v>1</v>
      </c>
      <c r="Q347" s="10" t="s">
        <v>140</v>
      </c>
      <c r="R347" s="28" t="s">
        <v>154</v>
      </c>
      <c r="S347" s="26" t="s">
        <v>163</v>
      </c>
    </row>
    <row r="348" spans="1:19" x14ac:dyDescent="0.3">
      <c r="A348" s="8" t="s">
        <v>15</v>
      </c>
      <c r="B348" s="9" t="s">
        <v>60</v>
      </c>
      <c r="C348" s="1" t="s">
        <v>46</v>
      </c>
      <c r="D348" s="10">
        <v>12</v>
      </c>
      <c r="E348" s="10" t="s">
        <v>60</v>
      </c>
      <c r="F348" s="10" t="s">
        <v>116</v>
      </c>
      <c r="G348" s="10" t="s">
        <v>115</v>
      </c>
      <c r="H348" s="18">
        <f t="shared" si="14"/>
        <v>12000000.01</v>
      </c>
      <c r="I348" s="18">
        <v>21000000</v>
      </c>
      <c r="J348" s="19">
        <v>2.2616999999999998</v>
      </c>
      <c r="K348" s="22">
        <v>0</v>
      </c>
      <c r="L348" s="25">
        <v>46143</v>
      </c>
      <c r="M348" s="12">
        <v>9.2499999999999999E-2</v>
      </c>
      <c r="N348" s="11">
        <f>_xlfn.XLOOKUP(E348,ICMS!C:C,ICMS!D:D)</f>
        <v>0.12</v>
      </c>
      <c r="O348" s="36">
        <f t="shared" si="16"/>
        <v>347</v>
      </c>
      <c r="P348" s="10">
        <v>1</v>
      </c>
      <c r="Q348" s="10" t="s">
        <v>140</v>
      </c>
      <c r="R348" s="28" t="s">
        <v>154</v>
      </c>
      <c r="S348" s="26" t="s">
        <v>163</v>
      </c>
    </row>
    <row r="349" spans="1:19" x14ac:dyDescent="0.3">
      <c r="A349" s="8" t="s">
        <v>15</v>
      </c>
      <c r="B349" s="9" t="s">
        <v>60</v>
      </c>
      <c r="C349" s="1" t="s">
        <v>46</v>
      </c>
      <c r="D349" s="10">
        <v>13</v>
      </c>
      <c r="E349" s="10" t="s">
        <v>60</v>
      </c>
      <c r="F349" s="10" t="s">
        <v>116</v>
      </c>
      <c r="G349" s="10" t="s">
        <v>115</v>
      </c>
      <c r="H349" s="18">
        <f t="shared" si="14"/>
        <v>21000000.010000002</v>
      </c>
      <c r="I349" s="18">
        <v>30000000</v>
      </c>
      <c r="J349" s="19">
        <v>2.2362000000000002</v>
      </c>
      <c r="K349" s="22">
        <v>0</v>
      </c>
      <c r="L349" s="25">
        <v>46143</v>
      </c>
      <c r="M349" s="12">
        <v>9.2499999999999999E-2</v>
      </c>
      <c r="N349" s="11">
        <f>_xlfn.XLOOKUP(E349,ICMS!C:C,ICMS!D:D)</f>
        <v>0.12</v>
      </c>
      <c r="O349" s="36">
        <f t="shared" si="16"/>
        <v>348</v>
      </c>
      <c r="P349" s="10">
        <v>1</v>
      </c>
      <c r="Q349" s="10" t="s">
        <v>140</v>
      </c>
      <c r="R349" s="28" t="s">
        <v>154</v>
      </c>
      <c r="S349" s="26" t="s">
        <v>163</v>
      </c>
    </row>
    <row r="350" spans="1:19" x14ac:dyDescent="0.3">
      <c r="A350" s="8" t="s">
        <v>15</v>
      </c>
      <c r="B350" s="9" t="s">
        <v>60</v>
      </c>
      <c r="C350" s="1" t="s">
        <v>46</v>
      </c>
      <c r="D350" s="10">
        <v>14</v>
      </c>
      <c r="E350" s="10" t="s">
        <v>60</v>
      </c>
      <c r="F350" s="10" t="s">
        <v>116</v>
      </c>
      <c r="G350" s="10" t="s">
        <v>115</v>
      </c>
      <c r="H350" s="18">
        <f t="shared" si="14"/>
        <v>30000000.010000002</v>
      </c>
      <c r="I350" s="18">
        <v>99999999999</v>
      </c>
      <c r="J350" s="19">
        <v>2.2166999999999999</v>
      </c>
      <c r="K350" s="22">
        <v>0</v>
      </c>
      <c r="L350" s="25">
        <v>46143</v>
      </c>
      <c r="M350" s="12">
        <v>9.2499999999999999E-2</v>
      </c>
      <c r="N350" s="11">
        <f>_xlfn.XLOOKUP(E350,ICMS!C:C,ICMS!D:D)</f>
        <v>0.12</v>
      </c>
      <c r="O350" s="36">
        <f t="shared" si="16"/>
        <v>349</v>
      </c>
      <c r="P350" s="10">
        <v>1</v>
      </c>
      <c r="Q350" s="10" t="s">
        <v>140</v>
      </c>
      <c r="R350" s="28" t="s">
        <v>154</v>
      </c>
      <c r="S350" s="26" t="s">
        <v>163</v>
      </c>
    </row>
    <row r="351" spans="1:19" x14ac:dyDescent="0.3">
      <c r="A351" s="8" t="s">
        <v>15</v>
      </c>
      <c r="B351" s="9" t="s">
        <v>61</v>
      </c>
      <c r="C351" s="1" t="s">
        <v>46</v>
      </c>
      <c r="D351" s="10">
        <v>1</v>
      </c>
      <c r="E351" s="10" t="s">
        <v>61</v>
      </c>
      <c r="F351" s="10" t="s">
        <v>119</v>
      </c>
      <c r="G351" s="10" t="s">
        <v>120</v>
      </c>
      <c r="H351" s="18">
        <v>0</v>
      </c>
      <c r="I351" s="18">
        <v>6000</v>
      </c>
      <c r="J351" s="19">
        <v>3.5505</v>
      </c>
      <c r="K351" s="22">
        <v>0</v>
      </c>
      <c r="L351" s="38">
        <v>45839</v>
      </c>
      <c r="M351" s="12">
        <v>9.2499999999999999E-2</v>
      </c>
      <c r="N351" s="11">
        <f>_xlfn.XLOOKUP(E351,ICMS!C:C,ICMS!D:D)</f>
        <v>0.2</v>
      </c>
      <c r="O351" s="36">
        <f t="shared" si="16"/>
        <v>350</v>
      </c>
      <c r="P351" s="10"/>
      <c r="Q351" s="10" t="s">
        <v>140</v>
      </c>
      <c r="R351" s="28" t="s">
        <v>155</v>
      </c>
      <c r="S351" s="26" t="s">
        <v>175</v>
      </c>
    </row>
    <row r="352" spans="1:19" x14ac:dyDescent="0.3">
      <c r="A352" s="8" t="s">
        <v>15</v>
      </c>
      <c r="B352" s="9" t="s">
        <v>61</v>
      </c>
      <c r="C352" s="1" t="s">
        <v>46</v>
      </c>
      <c r="D352" s="10">
        <v>2</v>
      </c>
      <c r="E352" s="10" t="s">
        <v>61</v>
      </c>
      <c r="F352" s="10" t="s">
        <v>119</v>
      </c>
      <c r="G352" s="10" t="s">
        <v>120</v>
      </c>
      <c r="H352" s="18">
        <f t="shared" si="14"/>
        <v>6000.01</v>
      </c>
      <c r="I352" s="18">
        <v>30000</v>
      </c>
      <c r="J352" s="19">
        <v>3.4903</v>
      </c>
      <c r="K352" s="22">
        <v>0</v>
      </c>
      <c r="L352" s="38">
        <v>45839</v>
      </c>
      <c r="M352" s="12">
        <v>9.2499999999999999E-2</v>
      </c>
      <c r="N352" s="11">
        <f>_xlfn.XLOOKUP(E352,ICMS!C:C,ICMS!D:D)</f>
        <v>0.2</v>
      </c>
      <c r="O352" s="36">
        <f t="shared" si="16"/>
        <v>351</v>
      </c>
      <c r="P352" s="10"/>
      <c r="Q352" s="10" t="s">
        <v>140</v>
      </c>
      <c r="R352" s="28" t="s">
        <v>155</v>
      </c>
      <c r="S352" s="26" t="s">
        <v>175</v>
      </c>
    </row>
    <row r="353" spans="1:19" x14ac:dyDescent="0.3">
      <c r="A353" s="8" t="s">
        <v>15</v>
      </c>
      <c r="B353" s="9" t="s">
        <v>61</v>
      </c>
      <c r="C353" s="1" t="s">
        <v>46</v>
      </c>
      <c r="D353" s="10">
        <v>3</v>
      </c>
      <c r="E353" s="10" t="s">
        <v>61</v>
      </c>
      <c r="F353" s="10" t="s">
        <v>119</v>
      </c>
      <c r="G353" s="10" t="s">
        <v>120</v>
      </c>
      <c r="H353" s="18">
        <f t="shared" si="14"/>
        <v>30000.01</v>
      </c>
      <c r="I353" s="18">
        <v>300000</v>
      </c>
      <c r="J353" s="19">
        <v>3.3264999999999998</v>
      </c>
      <c r="K353" s="22">
        <v>0</v>
      </c>
      <c r="L353" s="38">
        <v>45839</v>
      </c>
      <c r="M353" s="12">
        <v>9.2499999999999999E-2</v>
      </c>
      <c r="N353" s="11">
        <f>_xlfn.XLOOKUP(E353,ICMS!C:C,ICMS!D:D)</f>
        <v>0.2</v>
      </c>
      <c r="O353" s="36">
        <f t="shared" si="16"/>
        <v>352</v>
      </c>
      <c r="P353" s="10"/>
      <c r="Q353" s="10" t="s">
        <v>140</v>
      </c>
      <c r="R353" s="28" t="s">
        <v>155</v>
      </c>
      <c r="S353" s="26" t="s">
        <v>175</v>
      </c>
    </row>
    <row r="354" spans="1:19" x14ac:dyDescent="0.3">
      <c r="A354" s="8" t="s">
        <v>15</v>
      </c>
      <c r="B354" s="9" t="s">
        <v>61</v>
      </c>
      <c r="C354" s="1" t="s">
        <v>46</v>
      </c>
      <c r="D354" s="10">
        <v>4</v>
      </c>
      <c r="E354" s="10" t="s">
        <v>61</v>
      </c>
      <c r="F354" s="10" t="s">
        <v>119</v>
      </c>
      <c r="G354" s="10" t="s">
        <v>120</v>
      </c>
      <c r="H354" s="18">
        <f t="shared" ref="H354:H417" si="17">I353+0.01</f>
        <v>300000.01</v>
      </c>
      <c r="I354" s="18">
        <v>900000</v>
      </c>
      <c r="J354" s="19">
        <v>3.1078999999999999</v>
      </c>
      <c r="K354" s="22">
        <v>0</v>
      </c>
      <c r="L354" s="38">
        <v>45839</v>
      </c>
      <c r="M354" s="12">
        <v>9.2499999999999999E-2</v>
      </c>
      <c r="N354" s="11">
        <f>_xlfn.XLOOKUP(E354,ICMS!C:C,ICMS!D:D)</f>
        <v>0.2</v>
      </c>
      <c r="O354" s="36">
        <f t="shared" si="16"/>
        <v>353</v>
      </c>
      <c r="P354" s="10"/>
      <c r="Q354" s="10" t="s">
        <v>140</v>
      </c>
      <c r="R354" s="28" t="s">
        <v>155</v>
      </c>
      <c r="S354" s="26" t="s">
        <v>175</v>
      </c>
    </row>
    <row r="355" spans="1:19" x14ac:dyDescent="0.3">
      <c r="A355" s="8" t="s">
        <v>15</v>
      </c>
      <c r="B355" s="9" t="s">
        <v>61</v>
      </c>
      <c r="C355" s="1" t="s">
        <v>46</v>
      </c>
      <c r="D355" s="10">
        <v>5</v>
      </c>
      <c r="E355" s="10" t="s">
        <v>61</v>
      </c>
      <c r="F355" s="10" t="s">
        <v>119</v>
      </c>
      <c r="G355" s="10" t="s">
        <v>120</v>
      </c>
      <c r="H355" s="18">
        <f t="shared" si="17"/>
        <v>900000.01</v>
      </c>
      <c r="I355" s="18">
        <v>1800000</v>
      </c>
      <c r="J355" s="19">
        <v>3.0811000000000002</v>
      </c>
      <c r="K355" s="22">
        <v>0</v>
      </c>
      <c r="L355" s="38">
        <v>45839</v>
      </c>
      <c r="M355" s="12">
        <v>9.2499999999999999E-2</v>
      </c>
      <c r="N355" s="11">
        <f>_xlfn.XLOOKUP(E355,ICMS!C:C,ICMS!D:D)</f>
        <v>0.2</v>
      </c>
      <c r="O355" s="36">
        <f t="shared" si="16"/>
        <v>354</v>
      </c>
      <c r="P355" s="10"/>
      <c r="Q355" s="10" t="s">
        <v>140</v>
      </c>
      <c r="R355" s="28" t="s">
        <v>155</v>
      </c>
      <c r="S355" s="26" t="s">
        <v>175</v>
      </c>
    </row>
    <row r="356" spans="1:19" x14ac:dyDescent="0.3">
      <c r="A356" s="8" t="s">
        <v>15</v>
      </c>
      <c r="B356" s="9" t="s">
        <v>61</v>
      </c>
      <c r="C356" s="1" t="s">
        <v>46</v>
      </c>
      <c r="D356" s="10">
        <v>6</v>
      </c>
      <c r="E356" s="10" t="s">
        <v>61</v>
      </c>
      <c r="F356" s="10" t="s">
        <v>119</v>
      </c>
      <c r="G356" s="10" t="s">
        <v>120</v>
      </c>
      <c r="H356" s="18">
        <f t="shared" si="17"/>
        <v>1800000.01</v>
      </c>
      <c r="I356" s="18">
        <v>99999999999</v>
      </c>
      <c r="J356" s="19">
        <v>3.0556999999999999</v>
      </c>
      <c r="K356" s="22">
        <v>0</v>
      </c>
      <c r="L356" s="38">
        <v>45839</v>
      </c>
      <c r="M356" s="12">
        <v>9.2499999999999999E-2</v>
      </c>
      <c r="N356" s="11">
        <f>_xlfn.XLOOKUP(E356,ICMS!C:C,ICMS!D:D)</f>
        <v>0.2</v>
      </c>
      <c r="O356" s="36">
        <f t="shared" si="16"/>
        <v>355</v>
      </c>
      <c r="P356" s="10"/>
      <c r="Q356" s="10" t="s">
        <v>140</v>
      </c>
      <c r="R356" s="28" t="s">
        <v>155</v>
      </c>
      <c r="S356" s="26" t="s">
        <v>175</v>
      </c>
    </row>
    <row r="357" spans="1:19" x14ac:dyDescent="0.3">
      <c r="A357" s="8" t="s">
        <v>13</v>
      </c>
      <c r="B357" s="9" t="s">
        <v>61</v>
      </c>
      <c r="C357" s="1" t="s">
        <v>46</v>
      </c>
      <c r="D357" s="10">
        <v>1</v>
      </c>
      <c r="E357" s="10" t="s">
        <v>61</v>
      </c>
      <c r="F357" s="10" t="s">
        <v>119</v>
      </c>
      <c r="G357" s="10" t="s">
        <v>122</v>
      </c>
      <c r="H357" s="18">
        <v>0</v>
      </c>
      <c r="I357" s="18">
        <v>5000</v>
      </c>
      <c r="J357" s="19">
        <v>4.2823000000000002</v>
      </c>
      <c r="K357" s="22">
        <v>0</v>
      </c>
      <c r="L357" s="25" t="s">
        <v>183</v>
      </c>
      <c r="M357" s="12">
        <v>9.2499999999999999E-2</v>
      </c>
      <c r="N357" s="11">
        <f>_xlfn.XLOOKUP(E357,ICMS!C:C,ICMS!D:D)</f>
        <v>0.2</v>
      </c>
      <c r="O357" s="36">
        <f t="shared" si="16"/>
        <v>356</v>
      </c>
      <c r="P357" s="10"/>
      <c r="Q357" s="10" t="s">
        <v>140</v>
      </c>
      <c r="R357" s="28" t="s">
        <v>155</v>
      </c>
      <c r="S357" s="26" t="s">
        <v>175</v>
      </c>
    </row>
    <row r="358" spans="1:19" x14ac:dyDescent="0.3">
      <c r="A358" s="8" t="s">
        <v>13</v>
      </c>
      <c r="B358" s="9" t="s">
        <v>61</v>
      </c>
      <c r="C358" s="1" t="s">
        <v>46</v>
      </c>
      <c r="D358" s="10">
        <v>2</v>
      </c>
      <c r="E358" s="10" t="s">
        <v>61</v>
      </c>
      <c r="F358" s="10" t="s">
        <v>119</v>
      </c>
      <c r="G358" s="10" t="s">
        <v>122</v>
      </c>
      <c r="H358" s="18">
        <f t="shared" si="17"/>
        <v>5000.01</v>
      </c>
      <c r="I358" s="18">
        <v>10000</v>
      </c>
      <c r="J358" s="19">
        <v>3.9940000000000002</v>
      </c>
      <c r="K358" s="22">
        <v>0</v>
      </c>
      <c r="L358" s="25" t="s">
        <v>183</v>
      </c>
      <c r="M358" s="12">
        <v>9.2499999999999999E-2</v>
      </c>
      <c r="N358" s="11">
        <f>_xlfn.XLOOKUP(E358,ICMS!C:C,ICMS!D:D)</f>
        <v>0.2</v>
      </c>
      <c r="O358" s="36">
        <f t="shared" si="16"/>
        <v>357</v>
      </c>
      <c r="P358" s="10"/>
      <c r="Q358" s="10" t="s">
        <v>140</v>
      </c>
      <c r="R358" s="28" t="s">
        <v>155</v>
      </c>
      <c r="S358" s="26" t="s">
        <v>175</v>
      </c>
    </row>
    <row r="359" spans="1:19" x14ac:dyDescent="0.3">
      <c r="A359" s="8" t="s">
        <v>13</v>
      </c>
      <c r="B359" s="9" t="s">
        <v>61</v>
      </c>
      <c r="C359" s="1" t="s">
        <v>46</v>
      </c>
      <c r="D359" s="10">
        <v>3</v>
      </c>
      <c r="E359" s="10" t="s">
        <v>61</v>
      </c>
      <c r="F359" s="10" t="s">
        <v>119</v>
      </c>
      <c r="G359" s="10" t="s">
        <v>122</v>
      </c>
      <c r="H359" s="18">
        <f t="shared" si="17"/>
        <v>10000.01</v>
      </c>
      <c r="I359" s="18">
        <v>12000</v>
      </c>
      <c r="J359" s="19">
        <v>3.9584999999999999</v>
      </c>
      <c r="K359" s="22">
        <v>0</v>
      </c>
      <c r="L359" s="25" t="s">
        <v>183</v>
      </c>
      <c r="M359" s="12">
        <v>9.2499999999999999E-2</v>
      </c>
      <c r="N359" s="11">
        <f>_xlfn.XLOOKUP(E359,ICMS!C:C,ICMS!D:D)</f>
        <v>0.2</v>
      </c>
      <c r="O359" s="36">
        <f t="shared" si="16"/>
        <v>358</v>
      </c>
      <c r="P359" s="10"/>
      <c r="Q359" s="10" t="s">
        <v>140</v>
      </c>
      <c r="R359" s="28" t="s">
        <v>155</v>
      </c>
      <c r="S359" s="26" t="s">
        <v>175</v>
      </c>
    </row>
    <row r="360" spans="1:19" x14ac:dyDescent="0.3">
      <c r="A360" s="8" t="s">
        <v>13</v>
      </c>
      <c r="B360" s="9" t="s">
        <v>61</v>
      </c>
      <c r="C360" s="1" t="s">
        <v>46</v>
      </c>
      <c r="D360" s="10">
        <v>4</v>
      </c>
      <c r="E360" s="10" t="s">
        <v>61</v>
      </c>
      <c r="F360" s="10" t="s">
        <v>119</v>
      </c>
      <c r="G360" s="10" t="s">
        <v>122</v>
      </c>
      <c r="H360" s="18">
        <f t="shared" si="17"/>
        <v>12000.01</v>
      </c>
      <c r="I360" s="18">
        <v>14000</v>
      </c>
      <c r="J360" s="19">
        <v>3.9830999999999999</v>
      </c>
      <c r="K360" s="22">
        <v>0</v>
      </c>
      <c r="L360" s="25" t="s">
        <v>183</v>
      </c>
      <c r="M360" s="12">
        <v>9.2499999999999999E-2</v>
      </c>
      <c r="N360" s="11">
        <f>_xlfn.XLOOKUP(E360,ICMS!C:C,ICMS!D:D)</f>
        <v>0.2</v>
      </c>
      <c r="O360" s="36">
        <f t="shared" si="16"/>
        <v>359</v>
      </c>
      <c r="P360" s="10"/>
      <c r="Q360" s="10" t="s">
        <v>140</v>
      </c>
      <c r="R360" s="28" t="s">
        <v>155</v>
      </c>
      <c r="S360" s="26" t="s">
        <v>175</v>
      </c>
    </row>
    <row r="361" spans="1:19" x14ac:dyDescent="0.3">
      <c r="A361" s="8" t="s">
        <v>13</v>
      </c>
      <c r="B361" s="9" t="s">
        <v>61</v>
      </c>
      <c r="C361" s="1" t="s">
        <v>46</v>
      </c>
      <c r="D361" s="10">
        <v>5</v>
      </c>
      <c r="E361" s="10" t="s">
        <v>61</v>
      </c>
      <c r="F361" s="10" t="s">
        <v>119</v>
      </c>
      <c r="G361" s="10" t="s">
        <v>122</v>
      </c>
      <c r="H361" s="18">
        <f t="shared" si="17"/>
        <v>14000.01</v>
      </c>
      <c r="I361" s="18">
        <v>16000</v>
      </c>
      <c r="J361" s="19">
        <v>3.9775</v>
      </c>
      <c r="K361" s="22">
        <v>0</v>
      </c>
      <c r="L361" s="25" t="s">
        <v>183</v>
      </c>
      <c r="M361" s="12">
        <v>9.2499999999999999E-2</v>
      </c>
      <c r="N361" s="11">
        <f>_xlfn.XLOOKUP(E361,ICMS!C:C,ICMS!D:D)</f>
        <v>0.2</v>
      </c>
      <c r="O361" s="36">
        <f t="shared" si="16"/>
        <v>360</v>
      </c>
      <c r="P361" s="10"/>
      <c r="Q361" s="10" t="s">
        <v>140</v>
      </c>
      <c r="R361" s="28" t="s">
        <v>155</v>
      </c>
      <c r="S361" s="26" t="s">
        <v>175</v>
      </c>
    </row>
    <row r="362" spans="1:19" x14ac:dyDescent="0.3">
      <c r="A362" s="8" t="s">
        <v>13</v>
      </c>
      <c r="B362" s="9" t="s">
        <v>61</v>
      </c>
      <c r="C362" s="1" t="s">
        <v>46</v>
      </c>
      <c r="D362" s="10">
        <v>6</v>
      </c>
      <c r="E362" s="10" t="s">
        <v>61</v>
      </c>
      <c r="F362" s="10" t="s">
        <v>119</v>
      </c>
      <c r="G362" s="10" t="s">
        <v>122</v>
      </c>
      <c r="H362" s="18">
        <f t="shared" si="17"/>
        <v>16000.01</v>
      </c>
      <c r="I362" s="18">
        <v>99999999999</v>
      </c>
      <c r="J362" s="19">
        <v>3.9721000000000002</v>
      </c>
      <c r="K362" s="22">
        <v>0</v>
      </c>
      <c r="L362" s="25" t="s">
        <v>183</v>
      </c>
      <c r="M362" s="12">
        <v>9.2499999999999999E-2</v>
      </c>
      <c r="N362" s="11">
        <f>_xlfn.XLOOKUP(E362,ICMS!C:C,ICMS!D:D)</f>
        <v>0.2</v>
      </c>
      <c r="O362" s="36">
        <f t="shared" si="16"/>
        <v>361</v>
      </c>
      <c r="P362" s="10"/>
      <c r="Q362" s="10" t="s">
        <v>140</v>
      </c>
      <c r="R362" s="28" t="s">
        <v>155</v>
      </c>
      <c r="S362" s="26" t="s">
        <v>175</v>
      </c>
    </row>
    <row r="363" spans="1:19" x14ac:dyDescent="0.3">
      <c r="A363" s="8" t="s">
        <v>18</v>
      </c>
      <c r="B363" s="9" t="s">
        <v>61</v>
      </c>
      <c r="C363" s="1" t="s">
        <v>46</v>
      </c>
      <c r="D363" s="10">
        <v>1</v>
      </c>
      <c r="E363" s="10" t="s">
        <v>61</v>
      </c>
      <c r="F363" s="10" t="s">
        <v>119</v>
      </c>
      <c r="G363" s="10" t="s">
        <v>121</v>
      </c>
      <c r="H363" s="18">
        <v>0</v>
      </c>
      <c r="I363" s="18">
        <v>5000</v>
      </c>
      <c r="J363" s="19">
        <v>4.4488000000000003</v>
      </c>
      <c r="K363" s="22">
        <v>0</v>
      </c>
      <c r="L363" s="38">
        <v>46204</v>
      </c>
      <c r="M363" s="12">
        <v>9.2499999999999999E-2</v>
      </c>
      <c r="N363" s="11">
        <f>_xlfn.XLOOKUP(E363,ICMS!C:C,ICMS!D:D)</f>
        <v>0.2</v>
      </c>
      <c r="O363" s="36">
        <f t="shared" si="16"/>
        <v>362</v>
      </c>
      <c r="P363" s="10"/>
      <c r="Q363" s="10" t="s">
        <v>140</v>
      </c>
      <c r="R363" s="28" t="s">
        <v>155</v>
      </c>
      <c r="S363" s="26" t="s">
        <v>175</v>
      </c>
    </row>
    <row r="364" spans="1:19" x14ac:dyDescent="0.3">
      <c r="A364" s="8" t="s">
        <v>18</v>
      </c>
      <c r="B364" s="9" t="s">
        <v>61</v>
      </c>
      <c r="C364" s="1" t="s">
        <v>46</v>
      </c>
      <c r="D364" s="10">
        <v>2</v>
      </c>
      <c r="E364" s="10" t="s">
        <v>61</v>
      </c>
      <c r="F364" s="10" t="s">
        <v>119</v>
      </c>
      <c r="G364" s="10" t="s">
        <v>121</v>
      </c>
      <c r="H364" s="18">
        <f t="shared" si="17"/>
        <v>5000.01</v>
      </c>
      <c r="I364" s="18">
        <v>10000</v>
      </c>
      <c r="J364" s="19">
        <v>4.1604000000000001</v>
      </c>
      <c r="K364" s="22">
        <v>0</v>
      </c>
      <c r="L364" s="38">
        <v>46204</v>
      </c>
      <c r="M364" s="12">
        <v>9.2499999999999999E-2</v>
      </c>
      <c r="N364" s="11">
        <f>_xlfn.XLOOKUP(E364,ICMS!C:C,ICMS!D:D)</f>
        <v>0.2</v>
      </c>
      <c r="O364" s="36">
        <f t="shared" si="16"/>
        <v>363</v>
      </c>
      <c r="P364" s="10"/>
      <c r="Q364" s="10" t="s">
        <v>140</v>
      </c>
      <c r="R364" s="28" t="s">
        <v>155</v>
      </c>
      <c r="S364" s="26" t="s">
        <v>175</v>
      </c>
    </row>
    <row r="365" spans="1:19" x14ac:dyDescent="0.3">
      <c r="A365" s="8" t="s">
        <v>18</v>
      </c>
      <c r="B365" s="9" t="s">
        <v>61</v>
      </c>
      <c r="C365" s="1" t="s">
        <v>46</v>
      </c>
      <c r="D365" s="10">
        <v>3</v>
      </c>
      <c r="E365" s="10" t="s">
        <v>61</v>
      </c>
      <c r="F365" s="10" t="s">
        <v>119</v>
      </c>
      <c r="G365" s="10" t="s">
        <v>121</v>
      </c>
      <c r="H365" s="18">
        <f t="shared" si="17"/>
        <v>10000.01</v>
      </c>
      <c r="I365" s="18">
        <v>12000</v>
      </c>
      <c r="J365" s="19">
        <v>4.1550000000000002</v>
      </c>
      <c r="K365" s="22">
        <v>0</v>
      </c>
      <c r="L365" s="38">
        <v>46204</v>
      </c>
      <c r="M365" s="12">
        <v>9.2499999999999999E-2</v>
      </c>
      <c r="N365" s="11">
        <f>_xlfn.XLOOKUP(E365,ICMS!C:C,ICMS!D:D)</f>
        <v>0.2</v>
      </c>
      <c r="O365" s="36">
        <f t="shared" si="16"/>
        <v>364</v>
      </c>
      <c r="P365" s="10"/>
      <c r="Q365" s="10" t="s">
        <v>140</v>
      </c>
      <c r="R365" s="28" t="s">
        <v>155</v>
      </c>
      <c r="S365" s="26" t="s">
        <v>175</v>
      </c>
    </row>
    <row r="366" spans="1:19" x14ac:dyDescent="0.3">
      <c r="A366" s="8" t="s">
        <v>18</v>
      </c>
      <c r="B366" s="9" t="s">
        <v>61</v>
      </c>
      <c r="C366" s="1" t="s">
        <v>46</v>
      </c>
      <c r="D366" s="10">
        <v>4</v>
      </c>
      <c r="E366" s="10" t="s">
        <v>61</v>
      </c>
      <c r="F366" s="10" t="s">
        <v>119</v>
      </c>
      <c r="G366" s="10" t="s">
        <v>121</v>
      </c>
      <c r="H366" s="18">
        <f t="shared" si="17"/>
        <v>12000.01</v>
      </c>
      <c r="I366" s="18">
        <v>14000</v>
      </c>
      <c r="J366" s="19">
        <v>4.1494999999999997</v>
      </c>
      <c r="K366" s="22">
        <v>0</v>
      </c>
      <c r="L366" s="38">
        <v>46204</v>
      </c>
      <c r="M366" s="12">
        <v>9.2499999999999999E-2</v>
      </c>
      <c r="N366" s="11">
        <f>_xlfn.XLOOKUP(E366,ICMS!C:C,ICMS!D:D)</f>
        <v>0.2</v>
      </c>
      <c r="O366" s="36">
        <f t="shared" si="16"/>
        <v>365</v>
      </c>
      <c r="P366" s="10"/>
      <c r="Q366" s="10" t="s">
        <v>140</v>
      </c>
      <c r="R366" s="28" t="s">
        <v>155</v>
      </c>
      <c r="S366" s="26" t="s">
        <v>175</v>
      </c>
    </row>
    <row r="367" spans="1:19" x14ac:dyDescent="0.3">
      <c r="A367" s="8" t="s">
        <v>18</v>
      </c>
      <c r="B367" s="9" t="s">
        <v>61</v>
      </c>
      <c r="C367" s="1" t="s">
        <v>46</v>
      </c>
      <c r="D367" s="10">
        <v>5</v>
      </c>
      <c r="E367" s="10" t="s">
        <v>61</v>
      </c>
      <c r="F367" s="10" t="s">
        <v>119</v>
      </c>
      <c r="G367" s="10" t="s">
        <v>121</v>
      </c>
      <c r="H367" s="18">
        <f t="shared" si="17"/>
        <v>14000.01</v>
      </c>
      <c r="I367" s="18">
        <v>16000</v>
      </c>
      <c r="J367" s="19">
        <v>4.1439000000000004</v>
      </c>
      <c r="K367" s="22">
        <v>0</v>
      </c>
      <c r="L367" s="38">
        <v>46204</v>
      </c>
      <c r="M367" s="12">
        <v>9.2499999999999999E-2</v>
      </c>
      <c r="N367" s="11">
        <f>_xlfn.XLOOKUP(E367,ICMS!C:C,ICMS!D:D)</f>
        <v>0.2</v>
      </c>
      <c r="O367" s="36">
        <f t="shared" si="16"/>
        <v>366</v>
      </c>
      <c r="P367" s="10"/>
      <c r="Q367" s="10" t="s">
        <v>140</v>
      </c>
      <c r="R367" s="28" t="s">
        <v>155</v>
      </c>
      <c r="S367" s="26" t="s">
        <v>175</v>
      </c>
    </row>
    <row r="368" spans="1:19" x14ac:dyDescent="0.3">
      <c r="A368" s="8" t="s">
        <v>18</v>
      </c>
      <c r="B368" s="9" t="s">
        <v>61</v>
      </c>
      <c r="C368" s="1" t="s">
        <v>46</v>
      </c>
      <c r="D368" s="10">
        <v>6</v>
      </c>
      <c r="E368" s="10" t="s">
        <v>61</v>
      </c>
      <c r="F368" s="10" t="s">
        <v>119</v>
      </c>
      <c r="G368" s="10" t="s">
        <v>121</v>
      </c>
      <c r="H368" s="18">
        <f t="shared" si="17"/>
        <v>16000.01</v>
      </c>
      <c r="I368" s="18">
        <v>99999999999</v>
      </c>
      <c r="J368" s="19">
        <v>4.1388999999999996</v>
      </c>
      <c r="K368" s="22">
        <v>0</v>
      </c>
      <c r="L368" s="38">
        <v>46204</v>
      </c>
      <c r="M368" s="12">
        <v>9.2499999999999999E-2</v>
      </c>
      <c r="N368" s="11">
        <f>_xlfn.XLOOKUP(E368,ICMS!C:C,ICMS!D:D)</f>
        <v>0.2</v>
      </c>
      <c r="O368" s="36">
        <f t="shared" si="16"/>
        <v>367</v>
      </c>
      <c r="P368" s="10"/>
      <c r="Q368" s="10" t="s">
        <v>140</v>
      </c>
      <c r="R368" s="28" t="s">
        <v>155</v>
      </c>
      <c r="S368" s="26" t="s">
        <v>175</v>
      </c>
    </row>
    <row r="369" spans="1:19" x14ac:dyDescent="0.3">
      <c r="A369" s="8" t="s">
        <v>8</v>
      </c>
      <c r="B369" s="9" t="s">
        <v>61</v>
      </c>
      <c r="C369" s="1" t="s">
        <v>46</v>
      </c>
      <c r="D369" s="10">
        <v>1</v>
      </c>
      <c r="E369" s="10" t="s">
        <v>61</v>
      </c>
      <c r="F369" s="10" t="s">
        <v>119</v>
      </c>
      <c r="G369" s="10" t="s">
        <v>121</v>
      </c>
      <c r="H369" s="18">
        <v>0</v>
      </c>
      <c r="I369" s="18">
        <v>5000</v>
      </c>
      <c r="J369" s="19">
        <v>4.4488000000000003</v>
      </c>
      <c r="K369" s="22">
        <v>0</v>
      </c>
      <c r="L369" s="38">
        <v>46204</v>
      </c>
      <c r="M369" s="12">
        <v>9.2499999999999999E-2</v>
      </c>
      <c r="N369" s="11">
        <f>_xlfn.XLOOKUP(E369,ICMS!C:C,ICMS!D:D)</f>
        <v>0.2</v>
      </c>
      <c r="O369" s="36">
        <f t="shared" si="16"/>
        <v>368</v>
      </c>
      <c r="P369" s="10"/>
      <c r="Q369" s="10" t="s">
        <v>140</v>
      </c>
      <c r="R369" s="28" t="s">
        <v>155</v>
      </c>
      <c r="S369" s="26" t="s">
        <v>175</v>
      </c>
    </row>
    <row r="370" spans="1:19" x14ac:dyDescent="0.3">
      <c r="A370" s="8" t="s">
        <v>8</v>
      </c>
      <c r="B370" s="9" t="s">
        <v>61</v>
      </c>
      <c r="C370" s="1" t="s">
        <v>46</v>
      </c>
      <c r="D370" s="10">
        <v>2</v>
      </c>
      <c r="E370" s="10" t="s">
        <v>61</v>
      </c>
      <c r="F370" s="10" t="s">
        <v>119</v>
      </c>
      <c r="G370" s="10" t="s">
        <v>121</v>
      </c>
      <c r="H370" s="18">
        <f t="shared" si="17"/>
        <v>5000.01</v>
      </c>
      <c r="I370" s="18">
        <v>10000</v>
      </c>
      <c r="J370" s="19">
        <v>4.1604000000000001</v>
      </c>
      <c r="K370" s="22">
        <v>0</v>
      </c>
      <c r="L370" s="38">
        <v>46204</v>
      </c>
      <c r="M370" s="12">
        <v>9.2499999999999999E-2</v>
      </c>
      <c r="N370" s="11">
        <f>_xlfn.XLOOKUP(E370,ICMS!C:C,ICMS!D:D)</f>
        <v>0.2</v>
      </c>
      <c r="O370" s="36">
        <f t="shared" si="16"/>
        <v>369</v>
      </c>
      <c r="P370" s="10"/>
      <c r="Q370" s="10" t="s">
        <v>140</v>
      </c>
      <c r="R370" s="28" t="s">
        <v>155</v>
      </c>
      <c r="S370" s="26" t="s">
        <v>175</v>
      </c>
    </row>
    <row r="371" spans="1:19" x14ac:dyDescent="0.3">
      <c r="A371" s="8" t="s">
        <v>8</v>
      </c>
      <c r="B371" s="9" t="s">
        <v>61</v>
      </c>
      <c r="C371" s="1" t="s">
        <v>46</v>
      </c>
      <c r="D371" s="10">
        <v>3</v>
      </c>
      <c r="E371" s="10" t="s">
        <v>61</v>
      </c>
      <c r="F371" s="10" t="s">
        <v>119</v>
      </c>
      <c r="G371" s="10" t="s">
        <v>121</v>
      </c>
      <c r="H371" s="18">
        <f t="shared" si="17"/>
        <v>10000.01</v>
      </c>
      <c r="I371" s="18">
        <v>12000</v>
      </c>
      <c r="J371" s="19">
        <v>4.1550000000000002</v>
      </c>
      <c r="K371" s="22">
        <v>0</v>
      </c>
      <c r="L371" s="38">
        <v>46204</v>
      </c>
      <c r="M371" s="12">
        <v>9.2499999999999999E-2</v>
      </c>
      <c r="N371" s="11">
        <f>_xlfn.XLOOKUP(E371,ICMS!C:C,ICMS!D:D)</f>
        <v>0.2</v>
      </c>
      <c r="O371" s="36">
        <f t="shared" si="16"/>
        <v>370</v>
      </c>
      <c r="P371" s="10"/>
      <c r="Q371" s="10" t="s">
        <v>140</v>
      </c>
      <c r="R371" s="28" t="s">
        <v>155</v>
      </c>
      <c r="S371" s="26" t="s">
        <v>175</v>
      </c>
    </row>
    <row r="372" spans="1:19" x14ac:dyDescent="0.3">
      <c r="A372" s="8" t="s">
        <v>8</v>
      </c>
      <c r="B372" s="9" t="s">
        <v>61</v>
      </c>
      <c r="C372" s="1" t="s">
        <v>46</v>
      </c>
      <c r="D372" s="10">
        <v>4</v>
      </c>
      <c r="E372" s="10" t="s">
        <v>61</v>
      </c>
      <c r="F372" s="10" t="s">
        <v>119</v>
      </c>
      <c r="G372" s="10" t="s">
        <v>121</v>
      </c>
      <c r="H372" s="18">
        <f t="shared" si="17"/>
        <v>12000.01</v>
      </c>
      <c r="I372" s="18">
        <v>14000</v>
      </c>
      <c r="J372" s="19">
        <v>4.1494999999999997</v>
      </c>
      <c r="K372" s="22">
        <v>0</v>
      </c>
      <c r="L372" s="38">
        <v>46204</v>
      </c>
      <c r="M372" s="12">
        <v>9.2499999999999999E-2</v>
      </c>
      <c r="N372" s="11">
        <f>_xlfn.XLOOKUP(E372,ICMS!C:C,ICMS!D:D)</f>
        <v>0.2</v>
      </c>
      <c r="O372" s="36">
        <f t="shared" si="16"/>
        <v>371</v>
      </c>
      <c r="P372" s="10"/>
      <c r="Q372" s="10" t="s">
        <v>140</v>
      </c>
      <c r="R372" s="28" t="s">
        <v>155</v>
      </c>
      <c r="S372" s="26" t="s">
        <v>175</v>
      </c>
    </row>
    <row r="373" spans="1:19" x14ac:dyDescent="0.3">
      <c r="A373" s="8" t="s">
        <v>8</v>
      </c>
      <c r="B373" s="9" t="s">
        <v>61</v>
      </c>
      <c r="C373" s="1" t="s">
        <v>46</v>
      </c>
      <c r="D373" s="10">
        <v>5</v>
      </c>
      <c r="E373" s="10" t="s">
        <v>61</v>
      </c>
      <c r="F373" s="10" t="s">
        <v>119</v>
      </c>
      <c r="G373" s="10" t="s">
        <v>121</v>
      </c>
      <c r="H373" s="18">
        <f t="shared" si="17"/>
        <v>14000.01</v>
      </c>
      <c r="I373" s="18">
        <v>16000</v>
      </c>
      <c r="J373" s="19">
        <v>4.1439000000000004</v>
      </c>
      <c r="K373" s="22">
        <v>0</v>
      </c>
      <c r="L373" s="38">
        <v>46204</v>
      </c>
      <c r="M373" s="12">
        <v>9.2499999999999999E-2</v>
      </c>
      <c r="N373" s="11">
        <f>_xlfn.XLOOKUP(E373,ICMS!C:C,ICMS!D:D)</f>
        <v>0.2</v>
      </c>
      <c r="O373" s="36">
        <f t="shared" si="16"/>
        <v>372</v>
      </c>
      <c r="P373" s="10"/>
      <c r="Q373" s="10" t="s">
        <v>140</v>
      </c>
      <c r="R373" s="28" t="s">
        <v>155</v>
      </c>
      <c r="S373" s="26" t="s">
        <v>175</v>
      </c>
    </row>
    <row r="374" spans="1:19" x14ac:dyDescent="0.3">
      <c r="A374" s="8" t="s">
        <v>8</v>
      </c>
      <c r="B374" s="9" t="s">
        <v>61</v>
      </c>
      <c r="C374" s="1" t="s">
        <v>46</v>
      </c>
      <c r="D374" s="10">
        <v>6</v>
      </c>
      <c r="E374" s="10" t="s">
        <v>61</v>
      </c>
      <c r="F374" s="10" t="s">
        <v>119</v>
      </c>
      <c r="G374" s="10" t="s">
        <v>121</v>
      </c>
      <c r="H374" s="18">
        <f t="shared" si="17"/>
        <v>16000.01</v>
      </c>
      <c r="I374" s="18">
        <v>99999999999</v>
      </c>
      <c r="J374" s="19">
        <v>4.1388999999999996</v>
      </c>
      <c r="K374" s="22">
        <v>0</v>
      </c>
      <c r="L374" s="38">
        <v>46204</v>
      </c>
      <c r="M374" s="12">
        <v>9.2499999999999999E-2</v>
      </c>
      <c r="N374" s="11">
        <f>_xlfn.XLOOKUP(E374,ICMS!C:C,ICMS!D:D)</f>
        <v>0.2</v>
      </c>
      <c r="O374" s="36">
        <f t="shared" si="16"/>
        <v>373</v>
      </c>
      <c r="P374" s="10"/>
      <c r="Q374" s="10" t="s">
        <v>140</v>
      </c>
      <c r="R374" s="28" t="s">
        <v>155</v>
      </c>
      <c r="S374" s="26" t="s">
        <v>175</v>
      </c>
    </row>
    <row r="375" spans="1:19" x14ac:dyDescent="0.3">
      <c r="A375" s="33" t="s">
        <v>15</v>
      </c>
      <c r="B375" s="34" t="s">
        <v>63</v>
      </c>
      <c r="C375" s="35" t="s">
        <v>46</v>
      </c>
      <c r="D375" s="36">
        <v>1</v>
      </c>
      <c r="E375" s="36" t="s">
        <v>63</v>
      </c>
      <c r="F375" s="36" t="s">
        <v>124</v>
      </c>
      <c r="G375" s="36" t="s">
        <v>21</v>
      </c>
      <c r="H375" s="24">
        <v>0</v>
      </c>
      <c r="I375" s="24">
        <v>3042</v>
      </c>
      <c r="J375" s="27">
        <v>4.3014999999999999</v>
      </c>
      <c r="K375" s="37">
        <v>0</v>
      </c>
      <c r="L375" s="38">
        <v>46204</v>
      </c>
      <c r="M375" s="12">
        <v>9.2499999999999999E-2</v>
      </c>
      <c r="N375" s="11">
        <f>_xlfn.XLOOKUP(E375,ICMS!C:C,ICMS!D:D)</f>
        <v>0.2</v>
      </c>
      <c r="O375" s="36">
        <f t="shared" si="16"/>
        <v>374</v>
      </c>
      <c r="P375" s="10"/>
      <c r="Q375" s="10" t="s">
        <v>139</v>
      </c>
      <c r="R375" s="28" t="s">
        <v>156</v>
      </c>
      <c r="S375" s="26" t="s">
        <v>163</v>
      </c>
    </row>
    <row r="376" spans="1:19" x14ac:dyDescent="0.3">
      <c r="A376" s="33" t="s">
        <v>15</v>
      </c>
      <c r="B376" s="34" t="s">
        <v>63</v>
      </c>
      <c r="C376" s="35" t="s">
        <v>46</v>
      </c>
      <c r="D376" s="36">
        <v>2</v>
      </c>
      <c r="E376" s="36" t="s">
        <v>63</v>
      </c>
      <c r="F376" s="36" t="s">
        <v>124</v>
      </c>
      <c r="G376" s="36" t="s">
        <v>21</v>
      </c>
      <c r="H376" s="24">
        <f t="shared" si="17"/>
        <v>3042.01</v>
      </c>
      <c r="I376" s="24">
        <v>15208</v>
      </c>
      <c r="J376" s="27">
        <v>3.7833999999999999</v>
      </c>
      <c r="K376" s="37">
        <v>0</v>
      </c>
      <c r="L376" s="38">
        <v>46204</v>
      </c>
      <c r="M376" s="12">
        <v>9.2499999999999999E-2</v>
      </c>
      <c r="N376" s="11">
        <f>_xlfn.XLOOKUP(E376,ICMS!C:C,ICMS!D:D)</f>
        <v>0.2</v>
      </c>
      <c r="O376" s="36">
        <f t="shared" si="16"/>
        <v>375</v>
      </c>
      <c r="P376" s="10"/>
      <c r="Q376" s="10" t="s">
        <v>139</v>
      </c>
      <c r="R376" s="28" t="s">
        <v>156</v>
      </c>
      <c r="S376" s="26" t="s">
        <v>163</v>
      </c>
    </row>
    <row r="377" spans="1:19" x14ac:dyDescent="0.3">
      <c r="A377" s="33" t="s">
        <v>15</v>
      </c>
      <c r="B377" s="34" t="s">
        <v>63</v>
      </c>
      <c r="C377" s="35" t="s">
        <v>46</v>
      </c>
      <c r="D377" s="36">
        <v>3</v>
      </c>
      <c r="E377" s="36" t="s">
        <v>63</v>
      </c>
      <c r="F377" s="36" t="s">
        <v>124</v>
      </c>
      <c r="G377" s="36" t="s">
        <v>21</v>
      </c>
      <c r="H377" s="24">
        <f t="shared" si="17"/>
        <v>15208.01</v>
      </c>
      <c r="I377" s="24">
        <v>30415</v>
      </c>
      <c r="J377" s="27">
        <v>3.4622999999999999</v>
      </c>
      <c r="K377" s="37">
        <v>0</v>
      </c>
      <c r="L377" s="38">
        <v>46204</v>
      </c>
      <c r="M377" s="12">
        <v>9.2499999999999999E-2</v>
      </c>
      <c r="N377" s="11">
        <f>_xlfn.XLOOKUP(E377,ICMS!C:C,ICMS!D:D)</f>
        <v>0.2</v>
      </c>
      <c r="O377" s="36">
        <f t="shared" si="16"/>
        <v>376</v>
      </c>
      <c r="P377" s="10"/>
      <c r="Q377" s="10" t="s">
        <v>139</v>
      </c>
      <c r="R377" s="28" t="s">
        <v>156</v>
      </c>
      <c r="S377" s="26" t="s">
        <v>163</v>
      </c>
    </row>
    <row r="378" spans="1:19" x14ac:dyDescent="0.3">
      <c r="A378" s="33" t="s">
        <v>15</v>
      </c>
      <c r="B378" s="34" t="s">
        <v>63</v>
      </c>
      <c r="C378" s="35" t="s">
        <v>46</v>
      </c>
      <c r="D378" s="36">
        <v>4</v>
      </c>
      <c r="E378" s="36" t="s">
        <v>63</v>
      </c>
      <c r="F378" s="36" t="s">
        <v>124</v>
      </c>
      <c r="G378" s="36" t="s">
        <v>21</v>
      </c>
      <c r="H378" s="24">
        <f t="shared" si="17"/>
        <v>30415.01</v>
      </c>
      <c r="I378" s="24">
        <v>91245</v>
      </c>
      <c r="J378" s="27">
        <v>3.3692000000000002</v>
      </c>
      <c r="K378" s="37">
        <v>0</v>
      </c>
      <c r="L378" s="38">
        <v>46204</v>
      </c>
      <c r="M378" s="12">
        <v>9.2499999999999999E-2</v>
      </c>
      <c r="N378" s="11">
        <f>_xlfn.XLOOKUP(E378,ICMS!C:C,ICMS!D:D)</f>
        <v>0.2</v>
      </c>
      <c r="O378" s="36">
        <f t="shared" si="16"/>
        <v>377</v>
      </c>
      <c r="P378" s="10"/>
      <c r="Q378" s="10" t="s">
        <v>139</v>
      </c>
      <c r="R378" s="28" t="s">
        <v>156</v>
      </c>
      <c r="S378" s="26" t="s">
        <v>163</v>
      </c>
    </row>
    <row r="379" spans="1:19" x14ac:dyDescent="0.3">
      <c r="A379" s="33" t="s">
        <v>15</v>
      </c>
      <c r="B379" s="34" t="s">
        <v>63</v>
      </c>
      <c r="C379" s="35" t="s">
        <v>46</v>
      </c>
      <c r="D379" s="36">
        <v>5</v>
      </c>
      <c r="E379" s="36" t="s">
        <v>63</v>
      </c>
      <c r="F379" s="36" t="s">
        <v>124</v>
      </c>
      <c r="G379" s="36" t="s">
        <v>21</v>
      </c>
      <c r="H379" s="24">
        <f t="shared" si="17"/>
        <v>91245.01</v>
      </c>
      <c r="I379" s="24">
        <v>304150</v>
      </c>
      <c r="J379" s="27">
        <v>3.3105000000000002</v>
      </c>
      <c r="K379" s="37">
        <v>0</v>
      </c>
      <c r="L379" s="38">
        <v>46204</v>
      </c>
      <c r="M379" s="12">
        <v>9.2499999999999999E-2</v>
      </c>
      <c r="N379" s="11">
        <f>_xlfn.XLOOKUP(E379,ICMS!C:C,ICMS!D:D)</f>
        <v>0.2</v>
      </c>
      <c r="O379" s="36">
        <f t="shared" si="16"/>
        <v>378</v>
      </c>
      <c r="P379" s="10"/>
      <c r="Q379" s="10" t="s">
        <v>139</v>
      </c>
      <c r="R379" s="28" t="s">
        <v>156</v>
      </c>
      <c r="S379" s="26" t="s">
        <v>163</v>
      </c>
    </row>
    <row r="380" spans="1:19" x14ac:dyDescent="0.3">
      <c r="A380" s="33" t="s">
        <v>15</v>
      </c>
      <c r="B380" s="34" t="s">
        <v>63</v>
      </c>
      <c r="C380" s="35" t="s">
        <v>46</v>
      </c>
      <c r="D380" s="36">
        <v>6</v>
      </c>
      <c r="E380" s="36" t="s">
        <v>63</v>
      </c>
      <c r="F380" s="36" t="s">
        <v>124</v>
      </c>
      <c r="G380" s="36" t="s">
        <v>21</v>
      </c>
      <c r="H380" s="24">
        <f t="shared" si="17"/>
        <v>304150.01</v>
      </c>
      <c r="I380" s="24">
        <v>456225</v>
      </c>
      <c r="J380" s="27">
        <v>3.2605</v>
      </c>
      <c r="K380" s="37">
        <v>0</v>
      </c>
      <c r="L380" s="38">
        <v>46204</v>
      </c>
      <c r="M380" s="12">
        <v>9.2499999999999999E-2</v>
      </c>
      <c r="N380" s="11">
        <f>_xlfn.XLOOKUP(E380,ICMS!C:C,ICMS!D:D)</f>
        <v>0.2</v>
      </c>
      <c r="O380" s="36">
        <f t="shared" si="16"/>
        <v>379</v>
      </c>
      <c r="P380" s="10"/>
      <c r="Q380" s="10" t="s">
        <v>139</v>
      </c>
      <c r="R380" s="28" t="s">
        <v>156</v>
      </c>
      <c r="S380" s="26" t="s">
        <v>163</v>
      </c>
    </row>
    <row r="381" spans="1:19" x14ac:dyDescent="0.3">
      <c r="A381" s="33" t="s">
        <v>15</v>
      </c>
      <c r="B381" s="34" t="s">
        <v>63</v>
      </c>
      <c r="C381" s="35" t="s">
        <v>46</v>
      </c>
      <c r="D381" s="36">
        <v>7</v>
      </c>
      <c r="E381" s="36" t="s">
        <v>63</v>
      </c>
      <c r="F381" s="36" t="s">
        <v>124</v>
      </c>
      <c r="G381" s="36" t="s">
        <v>21</v>
      </c>
      <c r="H381" s="24">
        <f t="shared" si="17"/>
        <v>456225.01</v>
      </c>
      <c r="I381" s="24">
        <v>912450</v>
      </c>
      <c r="J381" s="27">
        <v>3.1987999999999999</v>
      </c>
      <c r="K381" s="37">
        <v>0</v>
      </c>
      <c r="L381" s="38">
        <v>46204</v>
      </c>
      <c r="M381" s="12">
        <v>9.2499999999999999E-2</v>
      </c>
      <c r="N381" s="11">
        <f>_xlfn.XLOOKUP(E381,ICMS!C:C,ICMS!D:D)</f>
        <v>0.2</v>
      </c>
      <c r="O381" s="36">
        <f t="shared" si="16"/>
        <v>380</v>
      </c>
      <c r="P381" s="10"/>
      <c r="Q381" s="10" t="s">
        <v>139</v>
      </c>
      <c r="R381" s="28" t="s">
        <v>156</v>
      </c>
      <c r="S381" s="26" t="s">
        <v>163</v>
      </c>
    </row>
    <row r="382" spans="1:19" x14ac:dyDescent="0.3">
      <c r="A382" s="33" t="s">
        <v>15</v>
      </c>
      <c r="B382" s="34" t="s">
        <v>63</v>
      </c>
      <c r="C382" s="35" t="s">
        <v>46</v>
      </c>
      <c r="D382" s="36">
        <v>8</v>
      </c>
      <c r="E382" s="36" t="s">
        <v>63</v>
      </c>
      <c r="F382" s="36" t="s">
        <v>124</v>
      </c>
      <c r="G382" s="36" t="s">
        <v>21</v>
      </c>
      <c r="H382" s="24">
        <f t="shared" si="17"/>
        <v>912450.01</v>
      </c>
      <c r="I382" s="24">
        <v>1520750</v>
      </c>
      <c r="J382" s="27">
        <v>3.1577000000000002</v>
      </c>
      <c r="K382" s="37">
        <v>0</v>
      </c>
      <c r="L382" s="38">
        <v>46204</v>
      </c>
      <c r="M382" s="12">
        <v>9.2499999999999999E-2</v>
      </c>
      <c r="N382" s="11">
        <f>_xlfn.XLOOKUP(E382,ICMS!C:C,ICMS!D:D)</f>
        <v>0.2</v>
      </c>
      <c r="O382" s="36">
        <f t="shared" si="16"/>
        <v>381</v>
      </c>
      <c r="P382" s="10"/>
      <c r="Q382" s="10" t="s">
        <v>139</v>
      </c>
      <c r="R382" s="28" t="s">
        <v>156</v>
      </c>
      <c r="S382" s="26" t="s">
        <v>163</v>
      </c>
    </row>
    <row r="383" spans="1:19" x14ac:dyDescent="0.3">
      <c r="A383" s="33" t="s">
        <v>15</v>
      </c>
      <c r="B383" s="34" t="s">
        <v>63</v>
      </c>
      <c r="C383" s="35" t="s">
        <v>46</v>
      </c>
      <c r="D383" s="36">
        <v>9</v>
      </c>
      <c r="E383" s="36" t="s">
        <v>63</v>
      </c>
      <c r="F383" s="36" t="s">
        <v>124</v>
      </c>
      <c r="G383" s="36" t="s">
        <v>21</v>
      </c>
      <c r="H383" s="24">
        <f t="shared" si="17"/>
        <v>1520750.01</v>
      </c>
      <c r="I383" s="24">
        <v>3041500</v>
      </c>
      <c r="J383" s="27">
        <v>3.0649999999999999</v>
      </c>
      <c r="K383" s="37">
        <v>0</v>
      </c>
      <c r="L383" s="38">
        <v>46204</v>
      </c>
      <c r="M383" s="12">
        <v>9.2499999999999999E-2</v>
      </c>
      <c r="N383" s="11">
        <f>_xlfn.XLOOKUP(E383,ICMS!C:C,ICMS!D:D)</f>
        <v>0.2</v>
      </c>
      <c r="O383" s="36">
        <f t="shared" si="16"/>
        <v>382</v>
      </c>
      <c r="P383" s="10"/>
      <c r="Q383" s="10" t="s">
        <v>139</v>
      </c>
      <c r="R383" s="28" t="s">
        <v>156</v>
      </c>
      <c r="S383" s="26" t="s">
        <v>163</v>
      </c>
    </row>
    <row r="384" spans="1:19" x14ac:dyDescent="0.3">
      <c r="A384" s="33" t="s">
        <v>15</v>
      </c>
      <c r="B384" s="34" t="s">
        <v>63</v>
      </c>
      <c r="C384" s="35" t="s">
        <v>46</v>
      </c>
      <c r="D384" s="36">
        <v>10</v>
      </c>
      <c r="E384" s="36" t="s">
        <v>63</v>
      </c>
      <c r="F384" s="36" t="s">
        <v>124</v>
      </c>
      <c r="G384" s="36" t="s">
        <v>21</v>
      </c>
      <c r="H384" s="24">
        <f t="shared" si="17"/>
        <v>3041500.01</v>
      </c>
      <c r="I384" s="24">
        <v>3649800</v>
      </c>
      <c r="J384" s="27">
        <v>2.9752999999999998</v>
      </c>
      <c r="K384" s="37">
        <v>0</v>
      </c>
      <c r="L384" s="38">
        <v>46204</v>
      </c>
      <c r="M384" s="12">
        <v>9.2499999999999999E-2</v>
      </c>
      <c r="N384" s="11">
        <f>_xlfn.XLOOKUP(E384,ICMS!C:C,ICMS!D:D)</f>
        <v>0.2</v>
      </c>
      <c r="O384" s="36">
        <f t="shared" si="16"/>
        <v>383</v>
      </c>
      <c r="P384" s="10"/>
      <c r="Q384" s="10" t="s">
        <v>139</v>
      </c>
      <c r="R384" s="28" t="s">
        <v>156</v>
      </c>
      <c r="S384" s="26" t="s">
        <v>163</v>
      </c>
    </row>
    <row r="385" spans="1:19" x14ac:dyDescent="0.3">
      <c r="A385" s="33" t="s">
        <v>15</v>
      </c>
      <c r="B385" s="34" t="s">
        <v>63</v>
      </c>
      <c r="C385" s="35" t="s">
        <v>46</v>
      </c>
      <c r="D385" s="36">
        <v>11</v>
      </c>
      <c r="E385" s="36" t="s">
        <v>63</v>
      </c>
      <c r="F385" s="36" t="s">
        <v>124</v>
      </c>
      <c r="G385" s="36" t="s">
        <v>21</v>
      </c>
      <c r="H385" s="24">
        <f t="shared" si="17"/>
        <v>3649800.01</v>
      </c>
      <c r="I385" s="24">
        <v>6083000</v>
      </c>
      <c r="J385" s="27">
        <v>2.9089999999999998</v>
      </c>
      <c r="K385" s="37">
        <v>0</v>
      </c>
      <c r="L385" s="38">
        <v>46204</v>
      </c>
      <c r="M385" s="12">
        <v>9.2499999999999999E-2</v>
      </c>
      <c r="N385" s="11">
        <f>_xlfn.XLOOKUP(E385,ICMS!C:C,ICMS!D:D)</f>
        <v>0.2</v>
      </c>
      <c r="O385" s="36">
        <f t="shared" si="16"/>
        <v>384</v>
      </c>
      <c r="P385" s="10"/>
      <c r="Q385" s="10" t="s">
        <v>139</v>
      </c>
      <c r="R385" s="28" t="s">
        <v>156</v>
      </c>
      <c r="S385" s="26" t="s">
        <v>163</v>
      </c>
    </row>
    <row r="386" spans="1:19" x14ac:dyDescent="0.3">
      <c r="A386" s="33" t="s">
        <v>15</v>
      </c>
      <c r="B386" s="34" t="s">
        <v>63</v>
      </c>
      <c r="C386" s="35" t="s">
        <v>46</v>
      </c>
      <c r="D386" s="36">
        <v>12</v>
      </c>
      <c r="E386" s="36" t="s">
        <v>63</v>
      </c>
      <c r="F386" s="36" t="s">
        <v>124</v>
      </c>
      <c r="G386" s="36" t="s">
        <v>21</v>
      </c>
      <c r="H386" s="24">
        <f t="shared" si="17"/>
        <v>6083000.0099999998</v>
      </c>
      <c r="I386" s="24">
        <v>99999999999</v>
      </c>
      <c r="J386" s="27">
        <v>2.8887</v>
      </c>
      <c r="K386" s="37">
        <v>0</v>
      </c>
      <c r="L386" s="38">
        <v>46204</v>
      </c>
      <c r="M386" s="12">
        <v>9.2499999999999999E-2</v>
      </c>
      <c r="N386" s="11">
        <f>_xlfn.XLOOKUP(E386,ICMS!C:C,ICMS!D:D)</f>
        <v>0.2</v>
      </c>
      <c r="O386" s="36">
        <f t="shared" si="16"/>
        <v>385</v>
      </c>
      <c r="P386" s="10"/>
      <c r="Q386" s="10" t="s">
        <v>139</v>
      </c>
      <c r="R386" s="28" t="s">
        <v>156</v>
      </c>
      <c r="S386" s="26" t="s">
        <v>163</v>
      </c>
    </row>
    <row r="387" spans="1:19" x14ac:dyDescent="0.3">
      <c r="A387" s="33" t="s">
        <v>13</v>
      </c>
      <c r="B387" s="34" t="s">
        <v>63</v>
      </c>
      <c r="C387" s="35" t="s">
        <v>46</v>
      </c>
      <c r="D387" s="36">
        <v>1</v>
      </c>
      <c r="E387" s="36" t="s">
        <v>63</v>
      </c>
      <c r="F387" s="36" t="s">
        <v>124</v>
      </c>
      <c r="G387" s="36" t="s">
        <v>14</v>
      </c>
      <c r="H387" s="24">
        <v>0</v>
      </c>
      <c r="I387" s="24">
        <v>20</v>
      </c>
      <c r="J387" s="27">
        <v>0</v>
      </c>
      <c r="K387" s="37">
        <v>128.35</v>
      </c>
      <c r="L387" s="38">
        <v>46204</v>
      </c>
      <c r="M387" s="12">
        <v>9.2499999999999999E-2</v>
      </c>
      <c r="N387" s="11">
        <f>_xlfn.XLOOKUP(E387,ICMS!C:C,ICMS!D:D)</f>
        <v>0.2</v>
      </c>
      <c r="O387" s="36">
        <f t="shared" si="16"/>
        <v>386</v>
      </c>
      <c r="P387" s="10"/>
      <c r="Q387" s="10" t="s">
        <v>140</v>
      </c>
      <c r="R387" s="28" t="s">
        <v>156</v>
      </c>
      <c r="S387" s="26" t="s">
        <v>163</v>
      </c>
    </row>
    <row r="388" spans="1:19" x14ac:dyDescent="0.3">
      <c r="A388" s="33" t="s">
        <v>13</v>
      </c>
      <c r="B388" s="34" t="s">
        <v>63</v>
      </c>
      <c r="C388" s="35" t="s">
        <v>46</v>
      </c>
      <c r="D388" s="36">
        <v>2</v>
      </c>
      <c r="E388" s="36" t="s">
        <v>63</v>
      </c>
      <c r="F388" s="36" t="s">
        <v>124</v>
      </c>
      <c r="G388" s="36" t="s">
        <v>14</v>
      </c>
      <c r="H388" s="24">
        <f t="shared" si="17"/>
        <v>20.010000000000002</v>
      </c>
      <c r="I388" s="24">
        <v>100</v>
      </c>
      <c r="J388" s="27">
        <v>5.1755000000000004</v>
      </c>
      <c r="K388" s="37">
        <v>5.4177</v>
      </c>
      <c r="L388" s="38">
        <v>46204</v>
      </c>
      <c r="M388" s="12">
        <v>9.2499999999999999E-2</v>
      </c>
      <c r="N388" s="11">
        <f>_xlfn.XLOOKUP(E388,ICMS!C:C,ICMS!D:D)</f>
        <v>0.2</v>
      </c>
      <c r="O388" s="36">
        <f t="shared" ref="O388:O451" si="18">1+O387</f>
        <v>387</v>
      </c>
      <c r="P388" s="10"/>
      <c r="Q388" s="10" t="s">
        <v>140</v>
      </c>
      <c r="R388" s="28" t="s">
        <v>156</v>
      </c>
      <c r="S388" s="26" t="s">
        <v>163</v>
      </c>
    </row>
    <row r="389" spans="1:19" x14ac:dyDescent="0.3">
      <c r="A389" s="33" t="s">
        <v>13</v>
      </c>
      <c r="B389" s="34" t="s">
        <v>63</v>
      </c>
      <c r="C389" s="35" t="s">
        <v>46</v>
      </c>
      <c r="D389" s="36">
        <v>3</v>
      </c>
      <c r="E389" s="36" t="s">
        <v>63</v>
      </c>
      <c r="F389" s="36" t="s">
        <v>124</v>
      </c>
      <c r="G389" s="36" t="s">
        <v>14</v>
      </c>
      <c r="H389" s="24">
        <f t="shared" si="17"/>
        <v>100.01</v>
      </c>
      <c r="I389" s="24">
        <v>400</v>
      </c>
      <c r="J389" s="27">
        <v>4.3754999999999997</v>
      </c>
      <c r="K389" s="37">
        <v>4.6177000000000001</v>
      </c>
      <c r="L389" s="38">
        <v>46204</v>
      </c>
      <c r="M389" s="12">
        <v>9.2499999999999999E-2</v>
      </c>
      <c r="N389" s="11">
        <f>_xlfn.XLOOKUP(E389,ICMS!C:C,ICMS!D:D)</f>
        <v>0.2</v>
      </c>
      <c r="O389" s="36">
        <f t="shared" si="18"/>
        <v>388</v>
      </c>
      <c r="P389" s="10"/>
      <c r="Q389" s="10" t="s">
        <v>140</v>
      </c>
      <c r="R389" s="28" t="s">
        <v>156</v>
      </c>
      <c r="S389" s="26" t="s">
        <v>163</v>
      </c>
    </row>
    <row r="390" spans="1:19" x14ac:dyDescent="0.3">
      <c r="A390" s="33" t="s">
        <v>13</v>
      </c>
      <c r="B390" s="34" t="s">
        <v>63</v>
      </c>
      <c r="C390" s="35" t="s">
        <v>46</v>
      </c>
      <c r="D390" s="36">
        <v>4</v>
      </c>
      <c r="E390" s="36" t="s">
        <v>63</v>
      </c>
      <c r="F390" s="36" t="s">
        <v>124</v>
      </c>
      <c r="G390" s="36" t="s">
        <v>14</v>
      </c>
      <c r="H390" s="24">
        <f t="shared" si="17"/>
        <v>400.01</v>
      </c>
      <c r="I390" s="24">
        <v>800</v>
      </c>
      <c r="J390" s="27">
        <v>3.2955000000000001</v>
      </c>
      <c r="K390" s="37">
        <v>3.5377000000000001</v>
      </c>
      <c r="L390" s="38">
        <v>46204</v>
      </c>
      <c r="M390" s="12">
        <v>9.2499999999999999E-2</v>
      </c>
      <c r="N390" s="11">
        <f>_xlfn.XLOOKUP(E390,ICMS!C:C,ICMS!D:D)</f>
        <v>0.2</v>
      </c>
      <c r="O390" s="36">
        <f t="shared" si="18"/>
        <v>389</v>
      </c>
      <c r="P390" s="10"/>
      <c r="Q390" s="10" t="s">
        <v>140</v>
      </c>
      <c r="R390" s="28" t="s">
        <v>156</v>
      </c>
      <c r="S390" s="26" t="s">
        <v>163</v>
      </c>
    </row>
    <row r="391" spans="1:19" x14ac:dyDescent="0.3">
      <c r="A391" s="33" t="s">
        <v>13</v>
      </c>
      <c r="B391" s="34" t="s">
        <v>63</v>
      </c>
      <c r="C391" s="35" t="s">
        <v>46</v>
      </c>
      <c r="D391" s="36">
        <v>5</v>
      </c>
      <c r="E391" s="36" t="s">
        <v>63</v>
      </c>
      <c r="F391" s="36" t="s">
        <v>124</v>
      </c>
      <c r="G391" s="36" t="s">
        <v>14</v>
      </c>
      <c r="H391" s="24">
        <f t="shared" si="17"/>
        <v>800.01</v>
      </c>
      <c r="I391" s="24">
        <v>1600</v>
      </c>
      <c r="J391" s="27">
        <v>2.9950000000000001</v>
      </c>
      <c r="K391" s="37">
        <v>3.2372000000000001</v>
      </c>
      <c r="L391" s="38">
        <v>46204</v>
      </c>
      <c r="M391" s="12">
        <v>9.2499999999999999E-2</v>
      </c>
      <c r="N391" s="11">
        <f>_xlfn.XLOOKUP(E391,ICMS!C:C,ICMS!D:D)</f>
        <v>0.2</v>
      </c>
      <c r="O391" s="36">
        <f t="shared" si="18"/>
        <v>390</v>
      </c>
      <c r="P391" s="10"/>
      <c r="Q391" s="10" t="s">
        <v>140</v>
      </c>
      <c r="R391" s="28" t="s">
        <v>156</v>
      </c>
      <c r="S391" s="26" t="s">
        <v>163</v>
      </c>
    </row>
    <row r="392" spans="1:19" x14ac:dyDescent="0.3">
      <c r="A392" s="33" t="s">
        <v>13</v>
      </c>
      <c r="B392" s="34" t="s">
        <v>63</v>
      </c>
      <c r="C392" s="35" t="s">
        <v>46</v>
      </c>
      <c r="D392" s="36">
        <v>6</v>
      </c>
      <c r="E392" s="36" t="s">
        <v>63</v>
      </c>
      <c r="F392" s="36" t="s">
        <v>124</v>
      </c>
      <c r="G392" s="36" t="s">
        <v>14</v>
      </c>
      <c r="H392" s="24">
        <f t="shared" si="17"/>
        <v>1600.01</v>
      </c>
      <c r="I392" s="24">
        <v>3200</v>
      </c>
      <c r="J392" s="27">
        <v>2.9455</v>
      </c>
      <c r="K392" s="37">
        <v>3.1877</v>
      </c>
      <c r="L392" s="38">
        <v>46204</v>
      </c>
      <c r="M392" s="12">
        <v>9.2499999999999999E-2</v>
      </c>
      <c r="N392" s="11">
        <f>_xlfn.XLOOKUP(E392,ICMS!C:C,ICMS!D:D)</f>
        <v>0.2</v>
      </c>
      <c r="O392" s="36">
        <f t="shared" si="18"/>
        <v>391</v>
      </c>
      <c r="P392" s="10"/>
      <c r="Q392" s="10" t="s">
        <v>140</v>
      </c>
      <c r="R392" s="28" t="s">
        <v>156</v>
      </c>
      <c r="S392" s="26" t="s">
        <v>163</v>
      </c>
    </row>
    <row r="393" spans="1:19" x14ac:dyDescent="0.3">
      <c r="A393" s="33" t="s">
        <v>13</v>
      </c>
      <c r="B393" s="34" t="s">
        <v>63</v>
      </c>
      <c r="C393" s="35" t="s">
        <v>46</v>
      </c>
      <c r="D393" s="36">
        <v>7</v>
      </c>
      <c r="E393" s="36" t="s">
        <v>63</v>
      </c>
      <c r="F393" s="36" t="s">
        <v>124</v>
      </c>
      <c r="G393" s="36" t="s">
        <v>14</v>
      </c>
      <c r="H393" s="24">
        <f t="shared" si="17"/>
        <v>3200.01</v>
      </c>
      <c r="I393" s="24">
        <v>6400</v>
      </c>
      <c r="J393" s="27">
        <v>2.9255</v>
      </c>
      <c r="K393" s="37">
        <v>3.1677</v>
      </c>
      <c r="L393" s="38">
        <v>46204</v>
      </c>
      <c r="M393" s="12">
        <v>9.2499999999999999E-2</v>
      </c>
      <c r="N393" s="11">
        <f>_xlfn.XLOOKUP(E393,ICMS!C:C,ICMS!D:D)</f>
        <v>0.2</v>
      </c>
      <c r="O393" s="36">
        <f t="shared" si="18"/>
        <v>392</v>
      </c>
      <c r="P393" s="10"/>
      <c r="Q393" s="10" t="s">
        <v>140</v>
      </c>
      <c r="R393" s="28" t="s">
        <v>156</v>
      </c>
      <c r="S393" s="26" t="s">
        <v>163</v>
      </c>
    </row>
    <row r="394" spans="1:19" x14ac:dyDescent="0.3">
      <c r="A394" s="33" t="s">
        <v>13</v>
      </c>
      <c r="B394" s="34" t="s">
        <v>63</v>
      </c>
      <c r="C394" s="35" t="s">
        <v>46</v>
      </c>
      <c r="D394" s="36">
        <v>8</v>
      </c>
      <c r="E394" s="36" t="s">
        <v>63</v>
      </c>
      <c r="F394" s="36" t="s">
        <v>124</v>
      </c>
      <c r="G394" s="36" t="s">
        <v>14</v>
      </c>
      <c r="H394" s="24">
        <f t="shared" si="17"/>
        <v>6400.01</v>
      </c>
      <c r="I394" s="24">
        <v>18200</v>
      </c>
      <c r="J394" s="27">
        <v>2.915</v>
      </c>
      <c r="K394" s="37">
        <v>3.1572</v>
      </c>
      <c r="L394" s="38">
        <v>46204</v>
      </c>
      <c r="M394" s="12">
        <v>9.2499999999999999E-2</v>
      </c>
      <c r="N394" s="11">
        <f>_xlfn.XLOOKUP(E394,ICMS!C:C,ICMS!D:D)</f>
        <v>0.2</v>
      </c>
      <c r="O394" s="36">
        <f t="shared" si="18"/>
        <v>393</v>
      </c>
      <c r="P394" s="10"/>
      <c r="Q394" s="10" t="s">
        <v>140</v>
      </c>
      <c r="R394" s="28" t="s">
        <v>156</v>
      </c>
      <c r="S394" s="26" t="s">
        <v>163</v>
      </c>
    </row>
    <row r="395" spans="1:19" x14ac:dyDescent="0.3">
      <c r="A395" s="33" t="s">
        <v>13</v>
      </c>
      <c r="B395" s="34" t="s">
        <v>63</v>
      </c>
      <c r="C395" s="35" t="s">
        <v>46</v>
      </c>
      <c r="D395" s="36">
        <v>9</v>
      </c>
      <c r="E395" s="36" t="s">
        <v>63</v>
      </c>
      <c r="F395" s="36" t="s">
        <v>124</v>
      </c>
      <c r="G395" s="36" t="s">
        <v>14</v>
      </c>
      <c r="H395" s="24">
        <f t="shared" si="17"/>
        <v>18200.009999999998</v>
      </c>
      <c r="I395" s="24">
        <v>99999999999</v>
      </c>
      <c r="J395" s="27">
        <v>2.8755000000000002</v>
      </c>
      <c r="K395" s="37">
        <v>3.1177000000000001</v>
      </c>
      <c r="L395" s="38">
        <v>46204</v>
      </c>
      <c r="M395" s="12">
        <v>9.2499999999999999E-2</v>
      </c>
      <c r="N395" s="11">
        <f>_xlfn.XLOOKUP(E395,ICMS!C:C,ICMS!D:D)</f>
        <v>0.2</v>
      </c>
      <c r="O395" s="36">
        <f t="shared" si="18"/>
        <v>394</v>
      </c>
      <c r="P395" s="10"/>
      <c r="Q395" s="10" t="s">
        <v>140</v>
      </c>
      <c r="R395" s="28" t="s">
        <v>156</v>
      </c>
      <c r="S395" s="26" t="s">
        <v>163</v>
      </c>
    </row>
    <row r="396" spans="1:19" x14ac:dyDescent="0.3">
      <c r="A396" s="33" t="s">
        <v>18</v>
      </c>
      <c r="B396" s="34" t="s">
        <v>63</v>
      </c>
      <c r="C396" s="35" t="s">
        <v>46</v>
      </c>
      <c r="D396" s="36">
        <v>1</v>
      </c>
      <c r="E396" s="36" t="s">
        <v>63</v>
      </c>
      <c r="F396" s="36" t="s">
        <v>124</v>
      </c>
      <c r="G396" s="36" t="s">
        <v>17</v>
      </c>
      <c r="H396" s="24">
        <v>0</v>
      </c>
      <c r="I396" s="24">
        <v>20</v>
      </c>
      <c r="J396" s="27">
        <v>0</v>
      </c>
      <c r="K396" s="37">
        <v>111.63</v>
      </c>
      <c r="L396" s="38">
        <v>46204</v>
      </c>
      <c r="M396" s="12">
        <v>9.2499999999999999E-2</v>
      </c>
      <c r="N396" s="11">
        <f>_xlfn.XLOOKUP(E396,ICMS!C:C,ICMS!D:D)</f>
        <v>0.2</v>
      </c>
      <c r="O396" s="36">
        <f t="shared" si="18"/>
        <v>395</v>
      </c>
      <c r="P396" s="10"/>
      <c r="Q396" s="10" t="s">
        <v>139</v>
      </c>
      <c r="R396" s="28" t="s">
        <v>156</v>
      </c>
      <c r="S396" s="26" t="s">
        <v>163</v>
      </c>
    </row>
    <row r="397" spans="1:19" x14ac:dyDescent="0.3">
      <c r="A397" s="33" t="s">
        <v>18</v>
      </c>
      <c r="B397" s="34" t="s">
        <v>63</v>
      </c>
      <c r="C397" s="35" t="s">
        <v>46</v>
      </c>
      <c r="D397" s="36">
        <v>2</v>
      </c>
      <c r="E397" s="36" t="s">
        <v>63</v>
      </c>
      <c r="F397" s="36" t="s">
        <v>124</v>
      </c>
      <c r="G397" s="36" t="s">
        <v>17</v>
      </c>
      <c r="H397" s="24">
        <f t="shared" si="17"/>
        <v>20.010000000000002</v>
      </c>
      <c r="I397" s="24">
        <v>99999999999</v>
      </c>
      <c r="J397" s="27">
        <v>5.5812999999999997</v>
      </c>
      <c r="K397" s="37">
        <v>0</v>
      </c>
      <c r="L397" s="38">
        <v>46204</v>
      </c>
      <c r="M397" s="12">
        <v>9.2499999999999999E-2</v>
      </c>
      <c r="N397" s="11">
        <f>_xlfn.XLOOKUP(E397,ICMS!C:C,ICMS!D:D)</f>
        <v>0.2</v>
      </c>
      <c r="O397" s="36">
        <f t="shared" si="18"/>
        <v>396</v>
      </c>
      <c r="P397" s="10"/>
      <c r="Q397" s="10" t="s">
        <v>139</v>
      </c>
      <c r="R397" s="28" t="s">
        <v>156</v>
      </c>
      <c r="S397" s="26" t="s">
        <v>163</v>
      </c>
    </row>
    <row r="398" spans="1:19" x14ac:dyDescent="0.3">
      <c r="A398" s="33" t="s">
        <v>8</v>
      </c>
      <c r="B398" s="34" t="s">
        <v>63</v>
      </c>
      <c r="C398" s="35" t="s">
        <v>46</v>
      </c>
      <c r="D398" s="36">
        <v>1</v>
      </c>
      <c r="E398" s="36" t="s">
        <v>63</v>
      </c>
      <c r="F398" s="36" t="s">
        <v>124</v>
      </c>
      <c r="G398" s="36" t="s">
        <v>17</v>
      </c>
      <c r="H398" s="24">
        <v>0</v>
      </c>
      <c r="I398" s="24">
        <v>20</v>
      </c>
      <c r="J398" s="27">
        <v>0</v>
      </c>
      <c r="K398" s="37">
        <v>111.63</v>
      </c>
      <c r="L398" s="38">
        <v>46204</v>
      </c>
      <c r="M398" s="12">
        <v>9.2499999999999999E-2</v>
      </c>
      <c r="N398" s="11">
        <f>_xlfn.XLOOKUP(E398,ICMS!C:C,ICMS!D:D)</f>
        <v>0.2</v>
      </c>
      <c r="O398" s="36">
        <f t="shared" si="18"/>
        <v>397</v>
      </c>
      <c r="P398" s="10"/>
      <c r="Q398" s="10" t="s">
        <v>139</v>
      </c>
      <c r="R398" s="28" t="s">
        <v>156</v>
      </c>
      <c r="S398" s="26" t="s">
        <v>163</v>
      </c>
    </row>
    <row r="399" spans="1:19" x14ac:dyDescent="0.3">
      <c r="A399" s="33" t="s">
        <v>8</v>
      </c>
      <c r="B399" s="34" t="s">
        <v>63</v>
      </c>
      <c r="C399" s="35" t="s">
        <v>46</v>
      </c>
      <c r="D399" s="36">
        <v>2</v>
      </c>
      <c r="E399" s="36" t="s">
        <v>63</v>
      </c>
      <c r="F399" s="36" t="s">
        <v>124</v>
      </c>
      <c r="G399" s="36" t="s">
        <v>17</v>
      </c>
      <c r="H399" s="24">
        <f t="shared" si="17"/>
        <v>20.010000000000002</v>
      </c>
      <c r="I399" s="24">
        <v>99999999999</v>
      </c>
      <c r="J399" s="27">
        <v>5.5812999999999997</v>
      </c>
      <c r="K399" s="37">
        <v>0</v>
      </c>
      <c r="L399" s="38">
        <v>46204</v>
      </c>
      <c r="M399" s="12">
        <v>9.2499999999999999E-2</v>
      </c>
      <c r="N399" s="11">
        <f>_xlfn.XLOOKUP(E399,ICMS!C:C,ICMS!D:D)</f>
        <v>0.2</v>
      </c>
      <c r="O399" s="36">
        <f t="shared" si="18"/>
        <v>398</v>
      </c>
      <c r="P399" s="10"/>
      <c r="Q399" s="10" t="s">
        <v>139</v>
      </c>
      <c r="R399" s="28" t="s">
        <v>156</v>
      </c>
      <c r="S399" s="26" t="s">
        <v>163</v>
      </c>
    </row>
    <row r="400" spans="1:19" x14ac:dyDescent="0.3">
      <c r="A400" s="33" t="s">
        <v>18</v>
      </c>
      <c r="B400" s="34" t="s">
        <v>64</v>
      </c>
      <c r="C400" s="35" t="s">
        <v>46</v>
      </c>
      <c r="D400" s="36">
        <v>1</v>
      </c>
      <c r="E400" s="36" t="s">
        <v>64</v>
      </c>
      <c r="F400" s="36" t="s">
        <v>125</v>
      </c>
      <c r="G400" s="36" t="s">
        <v>126</v>
      </c>
      <c r="H400" s="24">
        <v>0</v>
      </c>
      <c r="I400" s="24">
        <v>30</v>
      </c>
      <c r="J400" s="27">
        <v>5.5834700000000002</v>
      </c>
      <c r="K400" s="37">
        <v>0</v>
      </c>
      <c r="L400" s="38">
        <v>46143</v>
      </c>
      <c r="M400" s="12">
        <v>9.2499999999999999E-2</v>
      </c>
      <c r="N400" s="11">
        <f>_xlfn.XLOOKUP(E400,ICMS!C:C,ICMS!D:D)</f>
        <v>0.20499999999999999</v>
      </c>
      <c r="O400" s="36">
        <f t="shared" si="18"/>
        <v>399</v>
      </c>
      <c r="P400" s="10"/>
      <c r="Q400" s="10" t="s">
        <v>140</v>
      </c>
      <c r="R400" s="28" t="s">
        <v>157</v>
      </c>
      <c r="S400" s="26" t="s">
        <v>163</v>
      </c>
    </row>
    <row r="401" spans="1:19" x14ac:dyDescent="0.3">
      <c r="A401" s="33" t="s">
        <v>18</v>
      </c>
      <c r="B401" s="34" t="s">
        <v>64</v>
      </c>
      <c r="C401" s="35" t="s">
        <v>46</v>
      </c>
      <c r="D401" s="36">
        <v>2</v>
      </c>
      <c r="E401" s="36" t="s">
        <v>64</v>
      </c>
      <c r="F401" s="36" t="s">
        <v>125</v>
      </c>
      <c r="G401" s="36" t="s">
        <v>126</v>
      </c>
      <c r="H401" s="24">
        <f t="shared" si="17"/>
        <v>30.01</v>
      </c>
      <c r="I401" s="24">
        <v>150</v>
      </c>
      <c r="J401" s="27">
        <v>4.8006000000000002</v>
      </c>
      <c r="K401" s="37">
        <v>0</v>
      </c>
      <c r="L401" s="38">
        <v>46143</v>
      </c>
      <c r="M401" s="12">
        <v>9.2499999999999999E-2</v>
      </c>
      <c r="N401" s="11">
        <f>_xlfn.XLOOKUP(E401,ICMS!C:C,ICMS!D:D)</f>
        <v>0.20499999999999999</v>
      </c>
      <c r="O401" s="36">
        <f t="shared" si="18"/>
        <v>400</v>
      </c>
      <c r="P401" s="10"/>
      <c r="Q401" s="10" t="s">
        <v>140</v>
      </c>
      <c r="R401" s="28" t="s">
        <v>157</v>
      </c>
      <c r="S401" s="26" t="s">
        <v>163</v>
      </c>
    </row>
    <row r="402" spans="1:19" x14ac:dyDescent="0.3">
      <c r="A402" s="33" t="s">
        <v>18</v>
      </c>
      <c r="B402" s="34" t="s">
        <v>64</v>
      </c>
      <c r="C402" s="35" t="s">
        <v>46</v>
      </c>
      <c r="D402" s="36">
        <v>3</v>
      </c>
      <c r="E402" s="36" t="s">
        <v>64</v>
      </c>
      <c r="F402" s="36" t="s">
        <v>125</v>
      </c>
      <c r="G402" s="36" t="s">
        <v>126</v>
      </c>
      <c r="H402" s="24">
        <f t="shared" si="17"/>
        <v>150.01</v>
      </c>
      <c r="I402" s="24">
        <v>750</v>
      </c>
      <c r="J402" s="27">
        <v>4.4808000000000003</v>
      </c>
      <c r="K402" s="37">
        <v>0</v>
      </c>
      <c r="L402" s="38">
        <v>46143</v>
      </c>
      <c r="M402" s="12">
        <v>9.2499999999999999E-2</v>
      </c>
      <c r="N402" s="11">
        <f>_xlfn.XLOOKUP(E402,ICMS!C:C,ICMS!D:D)</f>
        <v>0.20499999999999999</v>
      </c>
      <c r="O402" s="36">
        <f t="shared" si="18"/>
        <v>401</v>
      </c>
      <c r="P402" s="10"/>
      <c r="Q402" s="10" t="s">
        <v>140</v>
      </c>
      <c r="R402" s="28" t="s">
        <v>157</v>
      </c>
      <c r="S402" s="26" t="s">
        <v>163</v>
      </c>
    </row>
    <row r="403" spans="1:19" x14ac:dyDescent="0.3">
      <c r="A403" s="33" t="s">
        <v>18</v>
      </c>
      <c r="B403" s="34" t="s">
        <v>64</v>
      </c>
      <c r="C403" s="35" t="s">
        <v>46</v>
      </c>
      <c r="D403" s="36">
        <v>4</v>
      </c>
      <c r="E403" s="36" t="s">
        <v>64</v>
      </c>
      <c r="F403" s="36" t="s">
        <v>125</v>
      </c>
      <c r="G403" s="36" t="s">
        <v>126</v>
      </c>
      <c r="H403" s="24">
        <f t="shared" si="17"/>
        <v>750.01</v>
      </c>
      <c r="I403" s="24">
        <v>3000</v>
      </c>
      <c r="J403" s="27">
        <v>4.4013</v>
      </c>
      <c r="K403" s="37">
        <v>0</v>
      </c>
      <c r="L403" s="38">
        <v>46143</v>
      </c>
      <c r="M403" s="12">
        <v>9.2499999999999999E-2</v>
      </c>
      <c r="N403" s="11">
        <f>_xlfn.XLOOKUP(E403,ICMS!C:C,ICMS!D:D)</f>
        <v>0.20499999999999999</v>
      </c>
      <c r="O403" s="36">
        <f t="shared" si="18"/>
        <v>402</v>
      </c>
      <c r="P403" s="10"/>
      <c r="Q403" s="10" t="s">
        <v>140</v>
      </c>
      <c r="R403" s="28" t="s">
        <v>157</v>
      </c>
      <c r="S403" s="26" t="s">
        <v>163</v>
      </c>
    </row>
    <row r="404" spans="1:19" x14ac:dyDescent="0.3">
      <c r="A404" s="33" t="s">
        <v>18</v>
      </c>
      <c r="B404" s="34" t="s">
        <v>64</v>
      </c>
      <c r="C404" s="35" t="s">
        <v>46</v>
      </c>
      <c r="D404" s="36">
        <v>5</v>
      </c>
      <c r="E404" s="36" t="s">
        <v>64</v>
      </c>
      <c r="F404" s="36" t="s">
        <v>125</v>
      </c>
      <c r="G404" s="36" t="s">
        <v>126</v>
      </c>
      <c r="H404" s="24">
        <f t="shared" si="17"/>
        <v>3000.01</v>
      </c>
      <c r="I404" s="24">
        <v>99999999999</v>
      </c>
      <c r="J404" s="27">
        <v>4.38</v>
      </c>
      <c r="K404" s="37">
        <v>0</v>
      </c>
      <c r="L404" s="38">
        <v>46143</v>
      </c>
      <c r="M404" s="12">
        <v>9.2499999999999999E-2</v>
      </c>
      <c r="N404" s="11">
        <f>_xlfn.XLOOKUP(E404,ICMS!C:C,ICMS!D:D)</f>
        <v>0.20499999999999999</v>
      </c>
      <c r="O404" s="36">
        <f t="shared" si="18"/>
        <v>403</v>
      </c>
      <c r="P404" s="10"/>
      <c r="Q404" s="10" t="s">
        <v>140</v>
      </c>
      <c r="R404" s="28" t="s">
        <v>157</v>
      </c>
      <c r="S404" s="26" t="s">
        <v>163</v>
      </c>
    </row>
    <row r="405" spans="1:19" x14ac:dyDescent="0.3">
      <c r="A405" s="33" t="s">
        <v>8</v>
      </c>
      <c r="B405" s="34" t="s">
        <v>64</v>
      </c>
      <c r="C405" s="35" t="s">
        <v>46</v>
      </c>
      <c r="D405" s="36">
        <v>1</v>
      </c>
      <c r="E405" s="36" t="s">
        <v>64</v>
      </c>
      <c r="F405" s="36" t="s">
        <v>125</v>
      </c>
      <c r="G405" s="36" t="s">
        <v>126</v>
      </c>
      <c r="H405" s="24">
        <v>0</v>
      </c>
      <c r="I405" s="24">
        <v>30</v>
      </c>
      <c r="J405" s="27">
        <v>5.5834700000000002</v>
      </c>
      <c r="K405" s="37">
        <v>0</v>
      </c>
      <c r="L405" s="38">
        <v>46143</v>
      </c>
      <c r="M405" s="12">
        <v>9.2499999999999999E-2</v>
      </c>
      <c r="N405" s="11">
        <f>_xlfn.XLOOKUP(E405,ICMS!C:C,ICMS!D:D)</f>
        <v>0.20499999999999999</v>
      </c>
      <c r="O405" s="36">
        <f t="shared" si="18"/>
        <v>404</v>
      </c>
      <c r="P405" s="10"/>
      <c r="Q405" s="10" t="s">
        <v>140</v>
      </c>
      <c r="R405" s="28" t="s">
        <v>157</v>
      </c>
      <c r="S405" s="26" t="s">
        <v>163</v>
      </c>
    </row>
    <row r="406" spans="1:19" x14ac:dyDescent="0.3">
      <c r="A406" s="33" t="s">
        <v>8</v>
      </c>
      <c r="B406" s="34" t="s">
        <v>64</v>
      </c>
      <c r="C406" s="35" t="s">
        <v>46</v>
      </c>
      <c r="D406" s="36">
        <v>2</v>
      </c>
      <c r="E406" s="36" t="s">
        <v>64</v>
      </c>
      <c r="F406" s="36" t="s">
        <v>125</v>
      </c>
      <c r="G406" s="36" t="s">
        <v>126</v>
      </c>
      <c r="H406" s="24">
        <f t="shared" si="17"/>
        <v>30.01</v>
      </c>
      <c r="I406" s="24">
        <v>150</v>
      </c>
      <c r="J406" s="27">
        <v>4.8006000000000002</v>
      </c>
      <c r="K406" s="37">
        <v>0</v>
      </c>
      <c r="L406" s="38">
        <v>46143</v>
      </c>
      <c r="M406" s="12">
        <v>9.2499999999999999E-2</v>
      </c>
      <c r="N406" s="11">
        <f>_xlfn.XLOOKUP(E406,ICMS!C:C,ICMS!D:D)</f>
        <v>0.20499999999999999</v>
      </c>
      <c r="O406" s="36">
        <f t="shared" si="18"/>
        <v>405</v>
      </c>
      <c r="P406" s="10"/>
      <c r="Q406" s="10" t="s">
        <v>140</v>
      </c>
      <c r="R406" s="28" t="s">
        <v>157</v>
      </c>
      <c r="S406" s="26" t="s">
        <v>163</v>
      </c>
    </row>
    <row r="407" spans="1:19" x14ac:dyDescent="0.3">
      <c r="A407" s="33" t="s">
        <v>8</v>
      </c>
      <c r="B407" s="34" t="s">
        <v>64</v>
      </c>
      <c r="C407" s="35" t="s">
        <v>46</v>
      </c>
      <c r="D407" s="36">
        <v>3</v>
      </c>
      <c r="E407" s="36" t="s">
        <v>64</v>
      </c>
      <c r="F407" s="36" t="s">
        <v>125</v>
      </c>
      <c r="G407" s="36" t="s">
        <v>126</v>
      </c>
      <c r="H407" s="24">
        <f t="shared" si="17"/>
        <v>150.01</v>
      </c>
      <c r="I407" s="24">
        <v>750</v>
      </c>
      <c r="J407" s="27">
        <v>4.4808000000000003</v>
      </c>
      <c r="K407" s="37">
        <v>0</v>
      </c>
      <c r="L407" s="38">
        <v>46143</v>
      </c>
      <c r="M407" s="12">
        <v>9.2499999999999999E-2</v>
      </c>
      <c r="N407" s="11">
        <f>_xlfn.XLOOKUP(E407,ICMS!C:C,ICMS!D:D)</f>
        <v>0.20499999999999999</v>
      </c>
      <c r="O407" s="36">
        <f t="shared" si="18"/>
        <v>406</v>
      </c>
      <c r="P407" s="10"/>
      <c r="Q407" s="10" t="s">
        <v>140</v>
      </c>
      <c r="R407" s="28" t="s">
        <v>157</v>
      </c>
      <c r="S407" s="26" t="s">
        <v>163</v>
      </c>
    </row>
    <row r="408" spans="1:19" x14ac:dyDescent="0.3">
      <c r="A408" s="33" t="s">
        <v>8</v>
      </c>
      <c r="B408" s="34" t="s">
        <v>64</v>
      </c>
      <c r="C408" s="35" t="s">
        <v>46</v>
      </c>
      <c r="D408" s="36">
        <v>4</v>
      </c>
      <c r="E408" s="36" t="s">
        <v>64</v>
      </c>
      <c r="F408" s="36" t="s">
        <v>125</v>
      </c>
      <c r="G408" s="36" t="s">
        <v>126</v>
      </c>
      <c r="H408" s="24">
        <f t="shared" si="17"/>
        <v>750.01</v>
      </c>
      <c r="I408" s="24">
        <v>3000</v>
      </c>
      <c r="J408" s="27">
        <v>4.4013</v>
      </c>
      <c r="K408" s="37">
        <v>0</v>
      </c>
      <c r="L408" s="38">
        <v>46143</v>
      </c>
      <c r="M408" s="12">
        <v>9.2499999999999999E-2</v>
      </c>
      <c r="N408" s="11">
        <f>_xlfn.XLOOKUP(E408,ICMS!C:C,ICMS!D:D)</f>
        <v>0.20499999999999999</v>
      </c>
      <c r="O408" s="36">
        <f t="shared" si="18"/>
        <v>407</v>
      </c>
      <c r="P408" s="10"/>
      <c r="Q408" s="10" t="s">
        <v>140</v>
      </c>
      <c r="R408" s="28" t="s">
        <v>157</v>
      </c>
      <c r="S408" s="26" t="s">
        <v>163</v>
      </c>
    </row>
    <row r="409" spans="1:19" x14ac:dyDescent="0.3">
      <c r="A409" s="33" t="s">
        <v>8</v>
      </c>
      <c r="B409" s="34" t="s">
        <v>64</v>
      </c>
      <c r="C409" s="35" t="s">
        <v>46</v>
      </c>
      <c r="D409" s="36">
        <v>5</v>
      </c>
      <c r="E409" s="36" t="s">
        <v>64</v>
      </c>
      <c r="F409" s="36" t="s">
        <v>125</v>
      </c>
      <c r="G409" s="36" t="s">
        <v>126</v>
      </c>
      <c r="H409" s="24">
        <f t="shared" si="17"/>
        <v>3000.01</v>
      </c>
      <c r="I409" s="24">
        <v>99999999999</v>
      </c>
      <c r="J409" s="27">
        <v>4.38</v>
      </c>
      <c r="K409" s="37">
        <v>0</v>
      </c>
      <c r="L409" s="38">
        <v>46143</v>
      </c>
      <c r="M409" s="12">
        <v>9.2499999999999999E-2</v>
      </c>
      <c r="N409" s="11">
        <f>_xlfn.XLOOKUP(E409,ICMS!C:C,ICMS!D:D)</f>
        <v>0.20499999999999999</v>
      </c>
      <c r="O409" s="36">
        <f t="shared" si="18"/>
        <v>408</v>
      </c>
      <c r="P409" s="10"/>
      <c r="Q409" s="10" t="s">
        <v>140</v>
      </c>
      <c r="R409" s="28" t="s">
        <v>157</v>
      </c>
      <c r="S409" s="26" t="s">
        <v>163</v>
      </c>
    </row>
    <row r="410" spans="1:19" x14ac:dyDescent="0.3">
      <c r="A410" s="33" t="s">
        <v>13</v>
      </c>
      <c r="B410" s="34" t="s">
        <v>64</v>
      </c>
      <c r="C410" s="35" t="s">
        <v>46</v>
      </c>
      <c r="D410" s="36">
        <v>1</v>
      </c>
      <c r="E410" s="36" t="s">
        <v>64</v>
      </c>
      <c r="F410" s="36" t="s">
        <v>125</v>
      </c>
      <c r="G410" s="36" t="s">
        <v>127</v>
      </c>
      <c r="H410" s="24">
        <v>0</v>
      </c>
      <c r="I410" s="24">
        <v>30</v>
      </c>
      <c r="J410" s="27">
        <v>6.6729000000000003</v>
      </c>
      <c r="K410" s="37">
        <v>0</v>
      </c>
      <c r="L410" s="38">
        <v>46143</v>
      </c>
      <c r="M410" s="12">
        <v>9.2499999999999999E-2</v>
      </c>
      <c r="N410" s="11">
        <f>_xlfn.XLOOKUP(E410,ICMS!C:C,ICMS!D:D)</f>
        <v>0.20499999999999999</v>
      </c>
      <c r="O410" s="36">
        <f t="shared" si="18"/>
        <v>409</v>
      </c>
      <c r="P410" s="10"/>
      <c r="Q410" s="10" t="s">
        <v>140</v>
      </c>
      <c r="R410" s="28" t="s">
        <v>157</v>
      </c>
      <c r="S410" s="26" t="s">
        <v>163</v>
      </c>
    </row>
    <row r="411" spans="1:19" x14ac:dyDescent="0.3">
      <c r="A411" s="33" t="s">
        <v>13</v>
      </c>
      <c r="B411" s="34" t="s">
        <v>64</v>
      </c>
      <c r="C411" s="35" t="s">
        <v>46</v>
      </c>
      <c r="D411" s="36">
        <v>2</v>
      </c>
      <c r="E411" s="36" t="s">
        <v>64</v>
      </c>
      <c r="F411" s="36" t="s">
        <v>125</v>
      </c>
      <c r="G411" s="36" t="s">
        <v>127</v>
      </c>
      <c r="H411" s="24">
        <f t="shared" si="17"/>
        <v>30.01</v>
      </c>
      <c r="I411" s="24">
        <v>150</v>
      </c>
      <c r="J411" s="27">
        <v>4.8479000000000001</v>
      </c>
      <c r="K411" s="37">
        <v>0</v>
      </c>
      <c r="L411" s="38">
        <v>46143</v>
      </c>
      <c r="M411" s="12">
        <v>9.2499999999999999E-2</v>
      </c>
      <c r="N411" s="11">
        <f>_xlfn.XLOOKUP(E411,ICMS!C:C,ICMS!D:D)</f>
        <v>0.20499999999999999</v>
      </c>
      <c r="O411" s="36">
        <f t="shared" si="18"/>
        <v>410</v>
      </c>
      <c r="P411" s="10"/>
      <c r="Q411" s="10" t="s">
        <v>140</v>
      </c>
      <c r="R411" s="28" t="s">
        <v>157</v>
      </c>
      <c r="S411" s="26" t="s">
        <v>163</v>
      </c>
    </row>
    <row r="412" spans="1:19" x14ac:dyDescent="0.3">
      <c r="A412" s="33" t="s">
        <v>13</v>
      </c>
      <c r="B412" s="34" t="s">
        <v>64</v>
      </c>
      <c r="C412" s="35" t="s">
        <v>46</v>
      </c>
      <c r="D412" s="36">
        <v>3</v>
      </c>
      <c r="E412" s="36" t="s">
        <v>64</v>
      </c>
      <c r="F412" s="36" t="s">
        <v>125</v>
      </c>
      <c r="G412" s="36" t="s">
        <v>127</v>
      </c>
      <c r="H412" s="24">
        <f t="shared" si="17"/>
        <v>150.01</v>
      </c>
      <c r="I412" s="24">
        <v>3000</v>
      </c>
      <c r="J412" s="27">
        <v>3.8729</v>
      </c>
      <c r="K412" s="37">
        <v>0</v>
      </c>
      <c r="L412" s="38">
        <v>46143</v>
      </c>
      <c r="M412" s="12">
        <v>9.2499999999999999E-2</v>
      </c>
      <c r="N412" s="11">
        <f>_xlfn.XLOOKUP(E412,ICMS!C:C,ICMS!D:D)</f>
        <v>0.20499999999999999</v>
      </c>
      <c r="O412" s="36">
        <f t="shared" si="18"/>
        <v>411</v>
      </c>
      <c r="P412" s="10"/>
      <c r="Q412" s="10" t="s">
        <v>140</v>
      </c>
      <c r="R412" s="28" t="s">
        <v>157</v>
      </c>
      <c r="S412" s="26" t="s">
        <v>163</v>
      </c>
    </row>
    <row r="413" spans="1:19" x14ac:dyDescent="0.3">
      <c r="A413" s="33" t="s">
        <v>13</v>
      </c>
      <c r="B413" s="34" t="s">
        <v>64</v>
      </c>
      <c r="C413" s="35" t="s">
        <v>46</v>
      </c>
      <c r="D413" s="36">
        <v>4</v>
      </c>
      <c r="E413" s="36" t="s">
        <v>64</v>
      </c>
      <c r="F413" s="36" t="s">
        <v>125</v>
      </c>
      <c r="G413" s="36" t="s">
        <v>127</v>
      </c>
      <c r="H413" s="24">
        <f t="shared" si="17"/>
        <v>3000.01</v>
      </c>
      <c r="I413" s="24">
        <v>9000</v>
      </c>
      <c r="J413" s="27">
        <v>3.6928999999999998</v>
      </c>
      <c r="K413" s="37">
        <v>0</v>
      </c>
      <c r="L413" s="38">
        <v>46143</v>
      </c>
      <c r="M413" s="12">
        <v>9.2499999999999999E-2</v>
      </c>
      <c r="N413" s="11">
        <f>_xlfn.XLOOKUP(E413,ICMS!C:C,ICMS!D:D)</f>
        <v>0.20499999999999999</v>
      </c>
      <c r="O413" s="36">
        <f t="shared" si="18"/>
        <v>412</v>
      </c>
      <c r="P413" s="10"/>
      <c r="Q413" s="10" t="s">
        <v>140</v>
      </c>
      <c r="R413" s="28" t="s">
        <v>157</v>
      </c>
      <c r="S413" s="26" t="s">
        <v>163</v>
      </c>
    </row>
    <row r="414" spans="1:19" x14ac:dyDescent="0.3">
      <c r="A414" s="33" t="s">
        <v>13</v>
      </c>
      <c r="B414" s="34" t="s">
        <v>64</v>
      </c>
      <c r="C414" s="35" t="s">
        <v>46</v>
      </c>
      <c r="D414" s="36">
        <v>5</v>
      </c>
      <c r="E414" s="36" t="s">
        <v>64</v>
      </c>
      <c r="F414" s="36" t="s">
        <v>125</v>
      </c>
      <c r="G414" s="36" t="s">
        <v>127</v>
      </c>
      <c r="H414" s="24">
        <f t="shared" si="17"/>
        <v>9000.01</v>
      </c>
      <c r="I414" s="24">
        <v>99999999999</v>
      </c>
      <c r="J414" s="27">
        <v>3.5929000000000002</v>
      </c>
      <c r="K414" s="37">
        <v>0</v>
      </c>
      <c r="L414" s="38">
        <v>46143</v>
      </c>
      <c r="M414" s="12">
        <v>9.2499999999999999E-2</v>
      </c>
      <c r="N414" s="11">
        <f>_xlfn.XLOOKUP(E414,ICMS!C:C,ICMS!D:D)</f>
        <v>0.20499999999999999</v>
      </c>
      <c r="O414" s="36">
        <f t="shared" si="18"/>
        <v>413</v>
      </c>
      <c r="P414" s="10"/>
      <c r="Q414" s="10" t="s">
        <v>140</v>
      </c>
      <c r="R414" s="28" t="s">
        <v>157</v>
      </c>
      <c r="S414" s="26" t="s">
        <v>163</v>
      </c>
    </row>
    <row r="415" spans="1:19" x14ac:dyDescent="0.3">
      <c r="A415" s="33" t="s">
        <v>15</v>
      </c>
      <c r="B415" s="34" t="s">
        <v>64</v>
      </c>
      <c r="C415" s="35" t="s">
        <v>46</v>
      </c>
      <c r="D415" s="36">
        <v>1</v>
      </c>
      <c r="E415" s="36" t="s">
        <v>64</v>
      </c>
      <c r="F415" s="36" t="s">
        <v>125</v>
      </c>
      <c r="G415" s="36" t="s">
        <v>128</v>
      </c>
      <c r="H415" s="24">
        <v>0</v>
      </c>
      <c r="I415" s="24">
        <v>30000</v>
      </c>
      <c r="J415" s="27">
        <v>2.7989999999999999</v>
      </c>
      <c r="K415" s="37">
        <v>0</v>
      </c>
      <c r="L415" s="38">
        <v>46143</v>
      </c>
      <c r="M415" s="12">
        <v>9.2499999999999999E-2</v>
      </c>
      <c r="N415" s="11">
        <f>_xlfn.XLOOKUP(E415,ICMS!C:C,ICMS!D:D)</f>
        <v>0.20499999999999999</v>
      </c>
      <c r="O415" s="36">
        <f t="shared" si="18"/>
        <v>414</v>
      </c>
      <c r="P415" s="10"/>
      <c r="Q415" s="10" t="s">
        <v>140</v>
      </c>
      <c r="R415" s="28" t="s">
        <v>157</v>
      </c>
      <c r="S415" s="26" t="s">
        <v>163</v>
      </c>
    </row>
    <row r="416" spans="1:19" x14ac:dyDescent="0.3">
      <c r="A416" s="33" t="s">
        <v>15</v>
      </c>
      <c r="B416" s="34" t="s">
        <v>64</v>
      </c>
      <c r="C416" s="35" t="s">
        <v>46</v>
      </c>
      <c r="D416" s="36">
        <v>2</v>
      </c>
      <c r="E416" s="36" t="s">
        <v>64</v>
      </c>
      <c r="F416" s="36" t="s">
        <v>125</v>
      </c>
      <c r="G416" s="36" t="s">
        <v>128</v>
      </c>
      <c r="H416" s="24">
        <f t="shared" si="17"/>
        <v>30000.01</v>
      </c>
      <c r="I416" s="24">
        <v>150000</v>
      </c>
      <c r="J416" s="27">
        <v>2.7749999999999999</v>
      </c>
      <c r="K416" s="37">
        <v>0</v>
      </c>
      <c r="L416" s="38">
        <v>46143</v>
      </c>
      <c r="M416" s="12">
        <v>9.2499999999999999E-2</v>
      </c>
      <c r="N416" s="11">
        <f>_xlfn.XLOOKUP(E416,ICMS!C:C,ICMS!D:D)</f>
        <v>0.20499999999999999</v>
      </c>
      <c r="O416" s="36">
        <f t="shared" si="18"/>
        <v>415</v>
      </c>
      <c r="P416" s="10"/>
      <c r="Q416" s="10" t="s">
        <v>140</v>
      </c>
      <c r="R416" s="28" t="s">
        <v>157</v>
      </c>
      <c r="S416" s="26" t="s">
        <v>163</v>
      </c>
    </row>
    <row r="417" spans="1:19" x14ac:dyDescent="0.3">
      <c r="A417" s="33" t="s">
        <v>15</v>
      </c>
      <c r="B417" s="34" t="s">
        <v>64</v>
      </c>
      <c r="C417" s="35" t="s">
        <v>46</v>
      </c>
      <c r="D417" s="36">
        <v>3</v>
      </c>
      <c r="E417" s="36" t="s">
        <v>64</v>
      </c>
      <c r="F417" s="36" t="s">
        <v>125</v>
      </c>
      <c r="G417" s="36" t="s">
        <v>128</v>
      </c>
      <c r="H417" s="24">
        <f t="shared" si="17"/>
        <v>150000.01</v>
      </c>
      <c r="I417" s="24">
        <v>300000</v>
      </c>
      <c r="J417" s="27">
        <v>2.7736999999999998</v>
      </c>
      <c r="K417" s="37">
        <v>0</v>
      </c>
      <c r="L417" s="38">
        <v>46143</v>
      </c>
      <c r="M417" s="12">
        <v>9.2499999999999999E-2</v>
      </c>
      <c r="N417" s="11">
        <f>_xlfn.XLOOKUP(E417,ICMS!C:C,ICMS!D:D)</f>
        <v>0.20499999999999999</v>
      </c>
      <c r="O417" s="36">
        <f t="shared" si="18"/>
        <v>416</v>
      </c>
      <c r="P417" s="10"/>
      <c r="Q417" s="10" t="s">
        <v>140</v>
      </c>
      <c r="R417" s="28" t="s">
        <v>157</v>
      </c>
      <c r="S417" s="26" t="s">
        <v>163</v>
      </c>
    </row>
    <row r="418" spans="1:19" x14ac:dyDescent="0.3">
      <c r="A418" s="33" t="s">
        <v>15</v>
      </c>
      <c r="B418" s="34" t="s">
        <v>64</v>
      </c>
      <c r="C418" s="35" t="s">
        <v>46</v>
      </c>
      <c r="D418" s="36">
        <v>4</v>
      </c>
      <c r="E418" s="36" t="s">
        <v>64</v>
      </c>
      <c r="F418" s="36" t="s">
        <v>125</v>
      </c>
      <c r="G418" s="36" t="s">
        <v>128</v>
      </c>
      <c r="H418" s="24">
        <f t="shared" ref="H418:H432" si="19">I417+0.01</f>
        <v>300000.01</v>
      </c>
      <c r="I418" s="24">
        <v>750000</v>
      </c>
      <c r="J418" s="27">
        <v>2.7656000000000001</v>
      </c>
      <c r="K418" s="37">
        <v>0</v>
      </c>
      <c r="L418" s="38">
        <v>46143</v>
      </c>
      <c r="M418" s="12">
        <v>9.2499999999999999E-2</v>
      </c>
      <c r="N418" s="11">
        <f>_xlfn.XLOOKUP(E418,ICMS!C:C,ICMS!D:D)</f>
        <v>0.20499999999999999</v>
      </c>
      <c r="O418" s="36">
        <f t="shared" si="18"/>
        <v>417</v>
      </c>
      <c r="P418" s="10"/>
      <c r="Q418" s="10" t="s">
        <v>140</v>
      </c>
      <c r="R418" s="28" t="s">
        <v>157</v>
      </c>
      <c r="S418" s="26" t="s">
        <v>163</v>
      </c>
    </row>
    <row r="419" spans="1:19" x14ac:dyDescent="0.3">
      <c r="A419" s="33" t="s">
        <v>15</v>
      </c>
      <c r="B419" s="34" t="s">
        <v>64</v>
      </c>
      <c r="C419" s="35" t="s">
        <v>46</v>
      </c>
      <c r="D419" s="36">
        <v>5</v>
      </c>
      <c r="E419" s="36" t="s">
        <v>64</v>
      </c>
      <c r="F419" s="36" t="s">
        <v>125</v>
      </c>
      <c r="G419" s="36" t="s">
        <v>128</v>
      </c>
      <c r="H419" s="24">
        <f t="shared" si="19"/>
        <v>750000.01</v>
      </c>
      <c r="I419" s="24">
        <v>1500000</v>
      </c>
      <c r="J419" s="27">
        <v>2.7532000000000001</v>
      </c>
      <c r="K419" s="37">
        <v>0</v>
      </c>
      <c r="L419" s="38">
        <v>46143</v>
      </c>
      <c r="M419" s="12">
        <v>9.2499999999999999E-2</v>
      </c>
      <c r="N419" s="11">
        <f>_xlfn.XLOOKUP(E419,ICMS!C:C,ICMS!D:D)</f>
        <v>0.20499999999999999</v>
      </c>
      <c r="O419" s="36">
        <f t="shared" si="18"/>
        <v>418</v>
      </c>
      <c r="P419" s="10"/>
      <c r="Q419" s="10" t="s">
        <v>140</v>
      </c>
      <c r="R419" s="28" t="s">
        <v>157</v>
      </c>
      <c r="S419" s="26" t="s">
        <v>163</v>
      </c>
    </row>
    <row r="420" spans="1:19" x14ac:dyDescent="0.3">
      <c r="A420" s="33" t="s">
        <v>15</v>
      </c>
      <c r="B420" s="34" t="s">
        <v>64</v>
      </c>
      <c r="C420" s="35" t="s">
        <v>46</v>
      </c>
      <c r="D420" s="36">
        <v>6</v>
      </c>
      <c r="E420" s="36" t="s">
        <v>64</v>
      </c>
      <c r="F420" s="36" t="s">
        <v>125</v>
      </c>
      <c r="G420" s="36" t="s">
        <v>128</v>
      </c>
      <c r="H420" s="24">
        <f t="shared" si="19"/>
        <v>1500000.01</v>
      </c>
      <c r="I420" s="24">
        <v>3000000</v>
      </c>
      <c r="J420" s="27">
        <v>2.7393000000000001</v>
      </c>
      <c r="K420" s="37">
        <v>0</v>
      </c>
      <c r="L420" s="38">
        <v>46143</v>
      </c>
      <c r="M420" s="12">
        <v>9.2499999999999999E-2</v>
      </c>
      <c r="N420" s="11">
        <f>_xlfn.XLOOKUP(E420,ICMS!C:C,ICMS!D:D)</f>
        <v>0.20499999999999999</v>
      </c>
      <c r="O420" s="36">
        <f t="shared" si="18"/>
        <v>419</v>
      </c>
      <c r="P420" s="10"/>
      <c r="Q420" s="10" t="s">
        <v>140</v>
      </c>
      <c r="R420" s="28" t="s">
        <v>157</v>
      </c>
      <c r="S420" s="26" t="s">
        <v>163</v>
      </c>
    </row>
    <row r="421" spans="1:19" x14ac:dyDescent="0.3">
      <c r="A421" s="33" t="s">
        <v>15</v>
      </c>
      <c r="B421" s="34" t="s">
        <v>64</v>
      </c>
      <c r="C421" s="35" t="s">
        <v>46</v>
      </c>
      <c r="D421" s="36">
        <v>7</v>
      </c>
      <c r="E421" s="36" t="s">
        <v>64</v>
      </c>
      <c r="F421" s="36" t="s">
        <v>125</v>
      </c>
      <c r="G421" s="36" t="s">
        <v>128</v>
      </c>
      <c r="H421" s="24">
        <f t="shared" si="19"/>
        <v>3000000.01</v>
      </c>
      <c r="I421" s="24">
        <v>3750000</v>
      </c>
      <c r="J421" s="27">
        <v>2.7021000000000002</v>
      </c>
      <c r="K421" s="37">
        <v>0</v>
      </c>
      <c r="L421" s="38">
        <v>46143</v>
      </c>
      <c r="M421" s="12">
        <v>9.2499999999999999E-2</v>
      </c>
      <c r="N421" s="11">
        <f>_xlfn.XLOOKUP(E421,ICMS!C:C,ICMS!D:D)</f>
        <v>0.20499999999999999</v>
      </c>
      <c r="O421" s="36">
        <f t="shared" si="18"/>
        <v>420</v>
      </c>
      <c r="P421" s="10"/>
      <c r="Q421" s="10" t="s">
        <v>140</v>
      </c>
      <c r="R421" s="28" t="s">
        <v>157</v>
      </c>
      <c r="S421" s="26" t="s">
        <v>163</v>
      </c>
    </row>
    <row r="422" spans="1:19" x14ac:dyDescent="0.3">
      <c r="A422" s="33" t="s">
        <v>15</v>
      </c>
      <c r="B422" s="34" t="s">
        <v>64</v>
      </c>
      <c r="C422" s="35" t="s">
        <v>46</v>
      </c>
      <c r="D422" s="36">
        <v>8</v>
      </c>
      <c r="E422" s="36" t="s">
        <v>64</v>
      </c>
      <c r="F422" s="36" t="s">
        <v>125</v>
      </c>
      <c r="G422" s="36" t="s">
        <v>128</v>
      </c>
      <c r="H422" s="24">
        <f t="shared" si="19"/>
        <v>3750000.01</v>
      </c>
      <c r="I422" s="24">
        <v>4500000</v>
      </c>
      <c r="J422" s="27">
        <v>2.6981999999999999</v>
      </c>
      <c r="K422" s="37">
        <v>0</v>
      </c>
      <c r="L422" s="38">
        <v>46143</v>
      </c>
      <c r="M422" s="12">
        <v>9.2499999999999999E-2</v>
      </c>
      <c r="N422" s="11">
        <f>_xlfn.XLOOKUP(E422,ICMS!C:C,ICMS!D:D)</f>
        <v>0.20499999999999999</v>
      </c>
      <c r="O422" s="36">
        <f t="shared" si="18"/>
        <v>421</v>
      </c>
      <c r="P422" s="10"/>
      <c r="Q422" s="10" t="s">
        <v>140</v>
      </c>
      <c r="R422" s="28" t="s">
        <v>157</v>
      </c>
      <c r="S422" s="26" t="s">
        <v>163</v>
      </c>
    </row>
    <row r="423" spans="1:19" x14ac:dyDescent="0.3">
      <c r="A423" s="33" t="s">
        <v>15</v>
      </c>
      <c r="B423" s="34" t="s">
        <v>64</v>
      </c>
      <c r="C423" s="35" t="s">
        <v>46</v>
      </c>
      <c r="D423" s="36">
        <v>9</v>
      </c>
      <c r="E423" s="36" t="s">
        <v>64</v>
      </c>
      <c r="F423" s="36" t="s">
        <v>125</v>
      </c>
      <c r="G423" s="36" t="s">
        <v>128</v>
      </c>
      <c r="H423" s="24">
        <f t="shared" si="19"/>
        <v>4500000.01</v>
      </c>
      <c r="I423" s="24">
        <v>5250000</v>
      </c>
      <c r="J423" s="27">
        <v>2.6473</v>
      </c>
      <c r="K423" s="37">
        <v>0</v>
      </c>
      <c r="L423" s="38">
        <v>46143</v>
      </c>
      <c r="M423" s="12">
        <v>9.2499999999999999E-2</v>
      </c>
      <c r="N423" s="11">
        <f>_xlfn.XLOOKUP(E423,ICMS!C:C,ICMS!D:D)</f>
        <v>0.20499999999999999</v>
      </c>
      <c r="O423" s="36">
        <f t="shared" si="18"/>
        <v>422</v>
      </c>
      <c r="P423" s="10"/>
      <c r="Q423" s="10" t="s">
        <v>140</v>
      </c>
      <c r="R423" s="28" t="s">
        <v>157</v>
      </c>
      <c r="S423" s="26" t="s">
        <v>163</v>
      </c>
    </row>
    <row r="424" spans="1:19" x14ac:dyDescent="0.3">
      <c r="A424" s="33" t="s">
        <v>15</v>
      </c>
      <c r="B424" s="34" t="s">
        <v>64</v>
      </c>
      <c r="C424" s="35" t="s">
        <v>46</v>
      </c>
      <c r="D424" s="36">
        <v>10</v>
      </c>
      <c r="E424" s="36" t="s">
        <v>64</v>
      </c>
      <c r="F424" s="36" t="s">
        <v>125</v>
      </c>
      <c r="G424" s="36" t="s">
        <v>128</v>
      </c>
      <c r="H424" s="24">
        <f t="shared" si="19"/>
        <v>5250000.01</v>
      </c>
      <c r="I424" s="24">
        <v>6000000</v>
      </c>
      <c r="J424" s="27">
        <v>2.6398999999999999</v>
      </c>
      <c r="K424" s="37">
        <v>0</v>
      </c>
      <c r="L424" s="38">
        <v>46143</v>
      </c>
      <c r="M424" s="12">
        <v>9.2499999999999999E-2</v>
      </c>
      <c r="N424" s="11">
        <f>_xlfn.XLOOKUP(E424,ICMS!C:C,ICMS!D:D)</f>
        <v>0.20499999999999999</v>
      </c>
      <c r="O424" s="36">
        <f t="shared" si="18"/>
        <v>423</v>
      </c>
      <c r="P424" s="10"/>
      <c r="Q424" s="10" t="s">
        <v>140</v>
      </c>
      <c r="R424" s="28" t="s">
        <v>157</v>
      </c>
      <c r="S424" s="26" t="s">
        <v>163</v>
      </c>
    </row>
    <row r="425" spans="1:19" x14ac:dyDescent="0.3">
      <c r="A425" s="33" t="s">
        <v>15</v>
      </c>
      <c r="B425" s="34" t="s">
        <v>64</v>
      </c>
      <c r="C425" s="35" t="s">
        <v>46</v>
      </c>
      <c r="D425" s="36">
        <v>11</v>
      </c>
      <c r="E425" s="36" t="s">
        <v>64</v>
      </c>
      <c r="F425" s="36" t="s">
        <v>125</v>
      </c>
      <c r="G425" s="36" t="s">
        <v>128</v>
      </c>
      <c r="H425" s="24">
        <f t="shared" si="19"/>
        <v>6000000.0099999998</v>
      </c>
      <c r="I425" s="24">
        <v>6750000</v>
      </c>
      <c r="J425" s="27">
        <v>2.6375000000000002</v>
      </c>
      <c r="K425" s="37">
        <v>0</v>
      </c>
      <c r="L425" s="38">
        <v>46143</v>
      </c>
      <c r="M425" s="12">
        <v>9.2499999999999999E-2</v>
      </c>
      <c r="N425" s="11">
        <f>_xlfn.XLOOKUP(E425,ICMS!C:C,ICMS!D:D)</f>
        <v>0.20499999999999999</v>
      </c>
      <c r="O425" s="36">
        <f t="shared" si="18"/>
        <v>424</v>
      </c>
      <c r="P425" s="10"/>
      <c r="Q425" s="10" t="s">
        <v>140</v>
      </c>
      <c r="R425" s="28" t="s">
        <v>157</v>
      </c>
      <c r="S425" s="26" t="s">
        <v>163</v>
      </c>
    </row>
    <row r="426" spans="1:19" x14ac:dyDescent="0.3">
      <c r="A426" s="33" t="s">
        <v>15</v>
      </c>
      <c r="B426" s="34" t="s">
        <v>64</v>
      </c>
      <c r="C426" s="35" t="s">
        <v>46</v>
      </c>
      <c r="D426" s="36">
        <v>12</v>
      </c>
      <c r="E426" s="36" t="s">
        <v>64</v>
      </c>
      <c r="F426" s="36" t="s">
        <v>125</v>
      </c>
      <c r="G426" s="36" t="s">
        <v>128</v>
      </c>
      <c r="H426" s="24">
        <f t="shared" si="19"/>
        <v>6750000.0099999998</v>
      </c>
      <c r="I426" s="24">
        <v>99999999999</v>
      </c>
      <c r="J426" s="27">
        <v>2.6318999999999999</v>
      </c>
      <c r="K426" s="37">
        <v>0</v>
      </c>
      <c r="L426" s="38">
        <v>46143</v>
      </c>
      <c r="M426" s="12">
        <v>9.2499999999999999E-2</v>
      </c>
      <c r="N426" s="11">
        <f>_xlfn.XLOOKUP(E426,ICMS!C:C,ICMS!D:D)</f>
        <v>0.20499999999999999</v>
      </c>
      <c r="O426" s="36">
        <f t="shared" si="18"/>
        <v>425</v>
      </c>
      <c r="P426" s="10"/>
      <c r="Q426" s="10" t="s">
        <v>140</v>
      </c>
      <c r="R426" s="28" t="s">
        <v>157</v>
      </c>
      <c r="S426" s="26" t="s">
        <v>163</v>
      </c>
    </row>
    <row r="427" spans="1:19" x14ac:dyDescent="0.3">
      <c r="A427" s="33" t="s">
        <v>13</v>
      </c>
      <c r="B427" s="34" t="s">
        <v>66</v>
      </c>
      <c r="C427" s="35" t="s">
        <v>46</v>
      </c>
      <c r="D427" s="36">
        <v>1</v>
      </c>
      <c r="E427" s="36" t="s">
        <v>66</v>
      </c>
      <c r="F427" s="36" t="s">
        <v>171</v>
      </c>
      <c r="G427" s="36" t="s">
        <v>14</v>
      </c>
      <c r="H427" s="24">
        <v>0</v>
      </c>
      <c r="I427" s="24">
        <v>17</v>
      </c>
      <c r="J427" s="27">
        <v>0</v>
      </c>
      <c r="K427" s="37">
        <v>83.0946</v>
      </c>
      <c r="L427" s="38">
        <v>46143</v>
      </c>
      <c r="M427" s="12">
        <v>9.2499999999999999E-2</v>
      </c>
      <c r="N427" s="11">
        <f>_xlfn.XLOOKUP(E427,ICMS!C:C,ICMS!D:D)</f>
        <v>0.2</v>
      </c>
      <c r="O427" s="36">
        <f t="shared" si="18"/>
        <v>426</v>
      </c>
      <c r="P427" s="36">
        <v>5</v>
      </c>
      <c r="Q427" s="36" t="s">
        <v>140</v>
      </c>
      <c r="R427" s="40" t="s">
        <v>158</v>
      </c>
      <c r="S427" s="39" t="s">
        <v>163</v>
      </c>
    </row>
    <row r="428" spans="1:19" x14ac:dyDescent="0.3">
      <c r="A428" s="33" t="s">
        <v>13</v>
      </c>
      <c r="B428" s="34" t="s">
        <v>66</v>
      </c>
      <c r="C428" s="35" t="s">
        <v>46</v>
      </c>
      <c r="D428" s="36">
        <v>2</v>
      </c>
      <c r="E428" s="36" t="s">
        <v>66</v>
      </c>
      <c r="F428" s="36" t="s">
        <v>171</v>
      </c>
      <c r="G428" s="36" t="s">
        <v>14</v>
      </c>
      <c r="H428" s="24">
        <f t="shared" si="19"/>
        <v>17.010000000000002</v>
      </c>
      <c r="I428" s="24">
        <v>150</v>
      </c>
      <c r="J428" s="27">
        <v>5.1933999999999996</v>
      </c>
      <c r="K428" s="37">
        <v>0</v>
      </c>
      <c r="L428" s="38">
        <v>46143</v>
      </c>
      <c r="M428" s="12">
        <v>9.2499999999999999E-2</v>
      </c>
      <c r="N428" s="11">
        <f>_xlfn.XLOOKUP(E428,ICMS!C:C,ICMS!D:D)</f>
        <v>0.2</v>
      </c>
      <c r="O428" s="36">
        <f t="shared" si="18"/>
        <v>427</v>
      </c>
      <c r="P428" s="36">
        <v>5</v>
      </c>
      <c r="Q428" s="36" t="s">
        <v>140</v>
      </c>
      <c r="R428" s="40" t="s">
        <v>158</v>
      </c>
      <c r="S428" s="39" t="s">
        <v>163</v>
      </c>
    </row>
    <row r="429" spans="1:19" x14ac:dyDescent="0.3">
      <c r="A429" s="33" t="s">
        <v>13</v>
      </c>
      <c r="B429" s="34" t="s">
        <v>66</v>
      </c>
      <c r="C429" s="35" t="s">
        <v>46</v>
      </c>
      <c r="D429" s="36">
        <v>3</v>
      </c>
      <c r="E429" s="36" t="s">
        <v>66</v>
      </c>
      <c r="F429" s="36" t="s">
        <v>171</v>
      </c>
      <c r="G429" s="36" t="s">
        <v>14</v>
      </c>
      <c r="H429" s="24">
        <f t="shared" si="19"/>
        <v>150.01</v>
      </c>
      <c r="I429" s="24">
        <v>450</v>
      </c>
      <c r="J429" s="27">
        <v>4.3597999999999999</v>
      </c>
      <c r="K429" s="37">
        <v>0</v>
      </c>
      <c r="L429" s="38">
        <v>46143</v>
      </c>
      <c r="M429" s="12">
        <v>9.2499999999999999E-2</v>
      </c>
      <c r="N429" s="11">
        <f>_xlfn.XLOOKUP(E429,ICMS!C:C,ICMS!D:D)</f>
        <v>0.2</v>
      </c>
      <c r="O429" s="36">
        <f t="shared" si="18"/>
        <v>428</v>
      </c>
      <c r="P429" s="36">
        <v>5</v>
      </c>
      <c r="Q429" s="36" t="s">
        <v>140</v>
      </c>
      <c r="R429" s="40" t="s">
        <v>158</v>
      </c>
      <c r="S429" s="39" t="s">
        <v>163</v>
      </c>
    </row>
    <row r="430" spans="1:19" x14ac:dyDescent="0.3">
      <c r="A430" s="33" t="s">
        <v>13</v>
      </c>
      <c r="B430" s="34" t="s">
        <v>66</v>
      </c>
      <c r="C430" s="35" t="s">
        <v>46</v>
      </c>
      <c r="D430" s="36">
        <v>4</v>
      </c>
      <c r="E430" s="36" t="s">
        <v>66</v>
      </c>
      <c r="F430" s="36" t="s">
        <v>171</v>
      </c>
      <c r="G430" s="36" t="s">
        <v>14</v>
      </c>
      <c r="H430" s="24">
        <f t="shared" si="19"/>
        <v>450.01</v>
      </c>
      <c r="I430" s="24">
        <v>3000</v>
      </c>
      <c r="J430" s="27">
        <v>3.8399000000000001</v>
      </c>
      <c r="K430" s="37">
        <v>0</v>
      </c>
      <c r="L430" s="38">
        <v>46143</v>
      </c>
      <c r="M430" s="12">
        <v>9.2499999999999999E-2</v>
      </c>
      <c r="N430" s="11">
        <f>_xlfn.XLOOKUP(E430,ICMS!C:C,ICMS!D:D)</f>
        <v>0.2</v>
      </c>
      <c r="O430" s="36">
        <f t="shared" si="18"/>
        <v>429</v>
      </c>
      <c r="P430" s="36">
        <v>5</v>
      </c>
      <c r="Q430" s="36" t="s">
        <v>140</v>
      </c>
      <c r="R430" s="40" t="s">
        <v>158</v>
      </c>
      <c r="S430" s="39" t="s">
        <v>163</v>
      </c>
    </row>
    <row r="431" spans="1:19" x14ac:dyDescent="0.3">
      <c r="A431" s="33" t="s">
        <v>13</v>
      </c>
      <c r="B431" s="34" t="s">
        <v>66</v>
      </c>
      <c r="C431" s="35" t="s">
        <v>46</v>
      </c>
      <c r="D431" s="36">
        <v>5</v>
      </c>
      <c r="E431" s="36" t="s">
        <v>66</v>
      </c>
      <c r="F431" s="36" t="s">
        <v>171</v>
      </c>
      <c r="G431" s="36" t="s">
        <v>14</v>
      </c>
      <c r="H431" s="24">
        <f t="shared" si="19"/>
        <v>3000.01</v>
      </c>
      <c r="I431" s="24">
        <v>15000</v>
      </c>
      <c r="J431" s="27">
        <v>3.5876999999999999</v>
      </c>
      <c r="K431" s="37">
        <v>0</v>
      </c>
      <c r="L431" s="38">
        <v>46143</v>
      </c>
      <c r="M431" s="12">
        <v>9.2499999999999999E-2</v>
      </c>
      <c r="N431" s="11">
        <f>_xlfn.XLOOKUP(E431,ICMS!C:C,ICMS!D:D)</f>
        <v>0.2</v>
      </c>
      <c r="O431" s="36">
        <f t="shared" si="18"/>
        <v>430</v>
      </c>
      <c r="P431" s="36">
        <v>5</v>
      </c>
      <c r="Q431" s="36" t="s">
        <v>140</v>
      </c>
      <c r="R431" s="40" t="s">
        <v>158</v>
      </c>
      <c r="S431" s="39" t="s">
        <v>163</v>
      </c>
    </row>
    <row r="432" spans="1:19" x14ac:dyDescent="0.3">
      <c r="A432" s="33" t="s">
        <v>13</v>
      </c>
      <c r="B432" s="34" t="s">
        <v>66</v>
      </c>
      <c r="C432" s="35" t="s">
        <v>46</v>
      </c>
      <c r="D432" s="36">
        <v>6</v>
      </c>
      <c r="E432" s="36" t="s">
        <v>66</v>
      </c>
      <c r="F432" s="36" t="s">
        <v>171</v>
      </c>
      <c r="G432" s="36" t="s">
        <v>14</v>
      </c>
      <c r="H432" s="24">
        <f t="shared" si="19"/>
        <v>15000.01</v>
      </c>
      <c r="I432" s="24">
        <v>99999999999</v>
      </c>
      <c r="J432" s="27">
        <v>3.5085999999999999</v>
      </c>
      <c r="K432" s="37">
        <v>0</v>
      </c>
      <c r="L432" s="38">
        <v>46143</v>
      </c>
      <c r="M432" s="12">
        <v>9.2499999999999999E-2</v>
      </c>
      <c r="N432" s="11">
        <f>_xlfn.XLOOKUP(E432,ICMS!C:C,ICMS!D:D)</f>
        <v>0.2</v>
      </c>
      <c r="O432" s="36">
        <f t="shared" si="18"/>
        <v>431</v>
      </c>
      <c r="P432" s="36">
        <v>5</v>
      </c>
      <c r="Q432" s="36" t="s">
        <v>140</v>
      </c>
      <c r="R432" s="40" t="s">
        <v>158</v>
      </c>
      <c r="S432" s="39" t="s">
        <v>163</v>
      </c>
    </row>
    <row r="433" spans="1:19" x14ac:dyDescent="0.3">
      <c r="A433" s="33" t="s">
        <v>18</v>
      </c>
      <c r="B433" s="34" t="s">
        <v>66</v>
      </c>
      <c r="C433" s="35" t="s">
        <v>46</v>
      </c>
      <c r="D433" s="36">
        <v>6</v>
      </c>
      <c r="E433" s="36" t="s">
        <v>66</v>
      </c>
      <c r="F433" s="36" t="s">
        <v>171</v>
      </c>
      <c r="G433" s="36" t="s">
        <v>17</v>
      </c>
      <c r="H433" s="24">
        <v>0</v>
      </c>
      <c r="I433" s="24">
        <v>99999999999</v>
      </c>
      <c r="J433" s="27">
        <v>4.5484</v>
      </c>
      <c r="K433" s="37">
        <v>0</v>
      </c>
      <c r="L433" s="38">
        <v>46143</v>
      </c>
      <c r="M433" s="12">
        <v>9.2499999999999999E-2</v>
      </c>
      <c r="N433" s="11">
        <f>_xlfn.XLOOKUP(E433,ICMS!C:C,ICMS!D:D)</f>
        <v>0.2</v>
      </c>
      <c r="O433" s="36">
        <f t="shared" si="18"/>
        <v>432</v>
      </c>
      <c r="P433" s="36">
        <v>4</v>
      </c>
      <c r="Q433" s="36" t="s">
        <v>139</v>
      </c>
      <c r="R433" s="40" t="s">
        <v>158</v>
      </c>
      <c r="S433" s="39" t="s">
        <v>163</v>
      </c>
    </row>
    <row r="434" spans="1:19" x14ac:dyDescent="0.3">
      <c r="A434" s="33" t="s">
        <v>8</v>
      </c>
      <c r="B434" s="34" t="s">
        <v>66</v>
      </c>
      <c r="C434" s="35" t="s">
        <v>46</v>
      </c>
      <c r="D434" s="36">
        <v>6</v>
      </c>
      <c r="E434" s="36" t="s">
        <v>66</v>
      </c>
      <c r="F434" s="36" t="s">
        <v>171</v>
      </c>
      <c r="G434" s="36" t="s">
        <v>17</v>
      </c>
      <c r="H434" s="24">
        <v>0</v>
      </c>
      <c r="I434" s="24">
        <v>99999999999</v>
      </c>
      <c r="J434" s="27">
        <v>4.5484</v>
      </c>
      <c r="K434" s="37">
        <v>0</v>
      </c>
      <c r="L434" s="38">
        <v>46143</v>
      </c>
      <c r="M434" s="12">
        <v>9.2499999999999999E-2</v>
      </c>
      <c r="N434" s="11">
        <f>_xlfn.XLOOKUP(E434,ICMS!C:C,ICMS!D:D)</f>
        <v>0.2</v>
      </c>
      <c r="O434" s="36">
        <f t="shared" si="18"/>
        <v>433</v>
      </c>
      <c r="P434" s="36">
        <v>4</v>
      </c>
      <c r="Q434" s="36" t="s">
        <v>139</v>
      </c>
      <c r="R434" s="40" t="s">
        <v>158</v>
      </c>
      <c r="S434" s="39" t="s">
        <v>163</v>
      </c>
    </row>
    <row r="435" spans="1:19" x14ac:dyDescent="0.3">
      <c r="A435" s="33" t="s">
        <v>15</v>
      </c>
      <c r="B435" s="34" t="s">
        <v>66</v>
      </c>
      <c r="C435" s="35" t="s">
        <v>46</v>
      </c>
      <c r="D435" s="36">
        <v>1</v>
      </c>
      <c r="E435" s="36" t="s">
        <v>66</v>
      </c>
      <c r="F435" s="36" t="s">
        <v>171</v>
      </c>
      <c r="G435" s="36" t="s">
        <v>21</v>
      </c>
      <c r="H435" s="24">
        <v>0</v>
      </c>
      <c r="I435" s="24">
        <v>30000</v>
      </c>
      <c r="J435" s="27">
        <v>3.2532000000000001</v>
      </c>
      <c r="K435" s="37">
        <v>0</v>
      </c>
      <c r="L435" s="38">
        <v>46143</v>
      </c>
      <c r="M435" s="12">
        <v>9.2499999999999999E-2</v>
      </c>
      <c r="N435" s="11">
        <f>_xlfn.XLOOKUP(E435,ICMS!C:C,ICMS!D:D)</f>
        <v>0.2</v>
      </c>
      <c r="O435" s="36">
        <f t="shared" si="18"/>
        <v>434</v>
      </c>
      <c r="P435" s="36">
        <v>1</v>
      </c>
      <c r="Q435" s="36" t="s">
        <v>140</v>
      </c>
      <c r="R435" s="40" t="s">
        <v>158</v>
      </c>
      <c r="S435" s="39" t="s">
        <v>163</v>
      </c>
    </row>
    <row r="436" spans="1:19" x14ac:dyDescent="0.3">
      <c r="A436" s="33" t="s">
        <v>15</v>
      </c>
      <c r="B436" s="34" t="s">
        <v>66</v>
      </c>
      <c r="C436" s="35" t="s">
        <v>46</v>
      </c>
      <c r="D436" s="36">
        <v>2</v>
      </c>
      <c r="E436" s="36" t="s">
        <v>66</v>
      </c>
      <c r="F436" s="36" t="s">
        <v>171</v>
      </c>
      <c r="G436" s="36" t="s">
        <v>21</v>
      </c>
      <c r="H436" s="24">
        <f t="shared" ref="H436:H458" si="20">I435+0.01</f>
        <v>30000.01</v>
      </c>
      <c r="I436" s="24">
        <v>150000</v>
      </c>
      <c r="J436" s="27">
        <v>3.1673</v>
      </c>
      <c r="K436" s="37">
        <v>0</v>
      </c>
      <c r="L436" s="38">
        <v>46143</v>
      </c>
      <c r="M436" s="12">
        <v>9.2499999999999999E-2</v>
      </c>
      <c r="N436" s="11">
        <f>_xlfn.XLOOKUP(E436,ICMS!C:C,ICMS!D:D)</f>
        <v>0.2</v>
      </c>
      <c r="O436" s="36">
        <f t="shared" si="18"/>
        <v>435</v>
      </c>
      <c r="P436" s="36">
        <v>1</v>
      </c>
      <c r="Q436" s="36" t="s">
        <v>140</v>
      </c>
      <c r="R436" s="40" t="s">
        <v>158</v>
      </c>
      <c r="S436" s="39" t="s">
        <v>163</v>
      </c>
    </row>
    <row r="437" spans="1:19" x14ac:dyDescent="0.3">
      <c r="A437" s="33" t="s">
        <v>15</v>
      </c>
      <c r="B437" s="34" t="s">
        <v>66</v>
      </c>
      <c r="C437" s="35" t="s">
        <v>46</v>
      </c>
      <c r="D437" s="36">
        <v>3</v>
      </c>
      <c r="E437" s="36" t="s">
        <v>66</v>
      </c>
      <c r="F437" s="36" t="s">
        <v>171</v>
      </c>
      <c r="G437" s="36" t="s">
        <v>21</v>
      </c>
      <c r="H437" s="24">
        <f t="shared" si="20"/>
        <v>150000.01</v>
      </c>
      <c r="I437" s="24">
        <v>300000</v>
      </c>
      <c r="J437" s="27">
        <v>3.0735000000000001</v>
      </c>
      <c r="K437" s="37">
        <v>0</v>
      </c>
      <c r="L437" s="38">
        <v>46143</v>
      </c>
      <c r="M437" s="12">
        <v>9.2499999999999999E-2</v>
      </c>
      <c r="N437" s="11">
        <f>_xlfn.XLOOKUP(E437,ICMS!C:C,ICMS!D:D)</f>
        <v>0.2</v>
      </c>
      <c r="O437" s="36">
        <f t="shared" si="18"/>
        <v>436</v>
      </c>
      <c r="P437" s="36">
        <v>1</v>
      </c>
      <c r="Q437" s="36" t="s">
        <v>140</v>
      </c>
      <c r="R437" s="40" t="s">
        <v>158</v>
      </c>
      <c r="S437" s="39" t="s">
        <v>163</v>
      </c>
    </row>
    <row r="438" spans="1:19" x14ac:dyDescent="0.3">
      <c r="A438" s="33" t="s">
        <v>15</v>
      </c>
      <c r="B438" s="34" t="s">
        <v>66</v>
      </c>
      <c r="C438" s="35" t="s">
        <v>46</v>
      </c>
      <c r="D438" s="36">
        <v>4</v>
      </c>
      <c r="E438" s="36" t="s">
        <v>66</v>
      </c>
      <c r="F438" s="36" t="s">
        <v>171</v>
      </c>
      <c r="G438" s="36" t="s">
        <v>21</v>
      </c>
      <c r="H438" s="24">
        <f t="shared" si="20"/>
        <v>300000.01</v>
      </c>
      <c r="I438" s="24">
        <v>750000</v>
      </c>
      <c r="J438" s="27">
        <v>2.9866999999999999</v>
      </c>
      <c r="K438" s="37">
        <v>0</v>
      </c>
      <c r="L438" s="38">
        <v>46143</v>
      </c>
      <c r="M438" s="12">
        <v>9.2499999999999999E-2</v>
      </c>
      <c r="N438" s="11">
        <f>_xlfn.XLOOKUP(E438,ICMS!C:C,ICMS!D:D)</f>
        <v>0.2</v>
      </c>
      <c r="O438" s="36">
        <f t="shared" si="18"/>
        <v>437</v>
      </c>
      <c r="P438" s="36">
        <v>1</v>
      </c>
      <c r="Q438" s="36" t="s">
        <v>140</v>
      </c>
      <c r="R438" s="40" t="s">
        <v>158</v>
      </c>
      <c r="S438" s="39" t="s">
        <v>163</v>
      </c>
    </row>
    <row r="439" spans="1:19" x14ac:dyDescent="0.3">
      <c r="A439" s="33" t="s">
        <v>15</v>
      </c>
      <c r="B439" s="34" t="s">
        <v>66</v>
      </c>
      <c r="C439" s="35" t="s">
        <v>46</v>
      </c>
      <c r="D439" s="36">
        <v>5</v>
      </c>
      <c r="E439" s="36" t="s">
        <v>66</v>
      </c>
      <c r="F439" s="36" t="s">
        <v>171</v>
      </c>
      <c r="G439" s="36" t="s">
        <v>21</v>
      </c>
      <c r="H439" s="24">
        <f t="shared" si="20"/>
        <v>750000.01</v>
      </c>
      <c r="I439" s="24">
        <v>1500000</v>
      </c>
      <c r="J439" s="27">
        <v>2.8982000000000001</v>
      </c>
      <c r="K439" s="37">
        <v>0</v>
      </c>
      <c r="L439" s="38">
        <v>46143</v>
      </c>
      <c r="M439" s="12">
        <v>9.2499999999999999E-2</v>
      </c>
      <c r="N439" s="11">
        <f>_xlfn.XLOOKUP(E439,ICMS!C:C,ICMS!D:D)</f>
        <v>0.2</v>
      </c>
      <c r="O439" s="36">
        <f t="shared" si="18"/>
        <v>438</v>
      </c>
      <c r="P439" s="36">
        <v>1</v>
      </c>
      <c r="Q439" s="36" t="s">
        <v>140</v>
      </c>
      <c r="R439" s="40" t="s">
        <v>158</v>
      </c>
      <c r="S439" s="39" t="s">
        <v>163</v>
      </c>
    </row>
    <row r="440" spans="1:19" x14ac:dyDescent="0.3">
      <c r="A440" s="33" t="s">
        <v>15</v>
      </c>
      <c r="B440" s="34" t="s">
        <v>66</v>
      </c>
      <c r="C440" s="35" t="s">
        <v>46</v>
      </c>
      <c r="D440" s="36">
        <v>6</v>
      </c>
      <c r="E440" s="36" t="s">
        <v>66</v>
      </c>
      <c r="F440" s="36" t="s">
        <v>171</v>
      </c>
      <c r="G440" s="36" t="s">
        <v>21</v>
      </c>
      <c r="H440" s="24">
        <f t="shared" si="20"/>
        <v>1500000.01</v>
      </c>
      <c r="I440" s="24">
        <v>3000000</v>
      </c>
      <c r="J440" s="27">
        <v>2.7787999999999999</v>
      </c>
      <c r="K440" s="37">
        <v>0</v>
      </c>
      <c r="L440" s="38">
        <v>46143</v>
      </c>
      <c r="M440" s="12">
        <v>9.2499999999999999E-2</v>
      </c>
      <c r="N440" s="11">
        <f>_xlfn.XLOOKUP(E440,ICMS!C:C,ICMS!D:D)</f>
        <v>0.2</v>
      </c>
      <c r="O440" s="36">
        <f t="shared" si="18"/>
        <v>439</v>
      </c>
      <c r="P440" s="36">
        <v>1</v>
      </c>
      <c r="Q440" s="36" t="s">
        <v>140</v>
      </c>
      <c r="R440" s="40" t="s">
        <v>158</v>
      </c>
      <c r="S440" s="39" t="s">
        <v>163</v>
      </c>
    </row>
    <row r="441" spans="1:19" x14ac:dyDescent="0.3">
      <c r="A441" s="33" t="s">
        <v>15</v>
      </c>
      <c r="B441" s="34" t="s">
        <v>66</v>
      </c>
      <c r="C441" s="35" t="s">
        <v>46</v>
      </c>
      <c r="D441" s="36">
        <v>7</v>
      </c>
      <c r="E441" s="36" t="s">
        <v>66</v>
      </c>
      <c r="F441" s="36" t="s">
        <v>171</v>
      </c>
      <c r="G441" s="36" t="s">
        <v>21</v>
      </c>
      <c r="H441" s="24">
        <f t="shared" si="20"/>
        <v>3000000.01</v>
      </c>
      <c r="I441" s="24">
        <v>6000000</v>
      </c>
      <c r="J441" s="27">
        <v>2.6124000000000001</v>
      </c>
      <c r="K441" s="37">
        <v>0</v>
      </c>
      <c r="L441" s="38">
        <v>46143</v>
      </c>
      <c r="M441" s="12">
        <v>9.2499999999999999E-2</v>
      </c>
      <c r="N441" s="11">
        <f>_xlfn.XLOOKUP(E441,ICMS!C:C,ICMS!D:D)</f>
        <v>0.2</v>
      </c>
      <c r="O441" s="36">
        <f t="shared" si="18"/>
        <v>440</v>
      </c>
      <c r="P441" s="36">
        <v>1</v>
      </c>
      <c r="Q441" s="36" t="s">
        <v>140</v>
      </c>
      <c r="R441" s="40" t="s">
        <v>158</v>
      </c>
      <c r="S441" s="39" t="s">
        <v>163</v>
      </c>
    </row>
    <row r="442" spans="1:19" x14ac:dyDescent="0.3">
      <c r="A442" s="33" t="s">
        <v>15</v>
      </c>
      <c r="B442" s="34" t="s">
        <v>66</v>
      </c>
      <c r="C442" s="35" t="s">
        <v>46</v>
      </c>
      <c r="D442" s="36">
        <v>8</v>
      </c>
      <c r="E442" s="36" t="s">
        <v>66</v>
      </c>
      <c r="F442" s="36" t="s">
        <v>171</v>
      </c>
      <c r="G442" s="36" t="s">
        <v>21</v>
      </c>
      <c r="H442" s="24">
        <f t="shared" si="20"/>
        <v>6000000.0099999998</v>
      </c>
      <c r="I442" s="24">
        <v>12000000</v>
      </c>
      <c r="J442" s="27">
        <v>2.4458000000000002</v>
      </c>
      <c r="K442" s="37">
        <v>0</v>
      </c>
      <c r="L442" s="38">
        <v>46143</v>
      </c>
      <c r="M442" s="12">
        <v>9.2499999999999999E-2</v>
      </c>
      <c r="N442" s="11">
        <f>_xlfn.XLOOKUP(E442,ICMS!C:C,ICMS!D:D)</f>
        <v>0.2</v>
      </c>
      <c r="O442" s="36">
        <f t="shared" si="18"/>
        <v>441</v>
      </c>
      <c r="P442" s="36">
        <v>1</v>
      </c>
      <c r="Q442" s="36" t="s">
        <v>140</v>
      </c>
      <c r="R442" s="40" t="s">
        <v>158</v>
      </c>
      <c r="S442" s="39" t="s">
        <v>163</v>
      </c>
    </row>
    <row r="443" spans="1:19" x14ac:dyDescent="0.3">
      <c r="A443" s="33" t="s">
        <v>15</v>
      </c>
      <c r="B443" s="34" t="s">
        <v>66</v>
      </c>
      <c r="C443" s="35" t="s">
        <v>46</v>
      </c>
      <c r="D443" s="36">
        <v>9</v>
      </c>
      <c r="E443" s="36" t="s">
        <v>66</v>
      </c>
      <c r="F443" s="36" t="s">
        <v>171</v>
      </c>
      <c r="G443" s="36" t="s">
        <v>21</v>
      </c>
      <c r="H443" s="24">
        <f t="shared" si="20"/>
        <v>12000000.01</v>
      </c>
      <c r="I443" s="24">
        <v>99999999999</v>
      </c>
      <c r="J443" s="27">
        <v>2.3721000000000001</v>
      </c>
      <c r="K443" s="37">
        <v>0</v>
      </c>
      <c r="L443" s="38">
        <v>46143</v>
      </c>
      <c r="M443" s="12">
        <v>9.2499999999999999E-2</v>
      </c>
      <c r="N443" s="11">
        <f>_xlfn.XLOOKUP(E443,ICMS!C:C,ICMS!D:D)</f>
        <v>0.2</v>
      </c>
      <c r="O443" s="36">
        <f t="shared" si="18"/>
        <v>442</v>
      </c>
      <c r="P443" s="36">
        <v>1</v>
      </c>
      <c r="Q443" s="36" t="s">
        <v>140</v>
      </c>
      <c r="R443" s="40" t="s">
        <v>158</v>
      </c>
      <c r="S443" s="39" t="s">
        <v>163</v>
      </c>
    </row>
    <row r="444" spans="1:19" x14ac:dyDescent="0.3">
      <c r="A444" s="33" t="s">
        <v>15</v>
      </c>
      <c r="B444" s="34" t="s">
        <v>67</v>
      </c>
      <c r="C444" s="35" t="s">
        <v>46</v>
      </c>
      <c r="D444" s="36">
        <v>1</v>
      </c>
      <c r="E444" s="36" t="s">
        <v>67</v>
      </c>
      <c r="F444" s="36" t="s">
        <v>129</v>
      </c>
      <c r="G444" s="36" t="s">
        <v>21</v>
      </c>
      <c r="H444" s="24">
        <v>0</v>
      </c>
      <c r="I444" s="24">
        <v>607.6</v>
      </c>
      <c r="J444" s="27">
        <v>3.5467</v>
      </c>
      <c r="K444" s="37">
        <v>0</v>
      </c>
      <c r="L444" s="38">
        <v>46143</v>
      </c>
      <c r="M444" s="12">
        <v>9.2499999999999999E-2</v>
      </c>
      <c r="N444" s="11">
        <f>_xlfn.XLOOKUP(E444,ICMS!C:C,ICMS!D:D)</f>
        <v>0.2</v>
      </c>
      <c r="O444" s="36">
        <f t="shared" si="18"/>
        <v>443</v>
      </c>
      <c r="P444" s="10"/>
      <c r="Q444" s="10" t="s">
        <v>139</v>
      </c>
      <c r="R444" s="28" t="s">
        <v>159</v>
      </c>
      <c r="S444" s="26" t="s">
        <v>162</v>
      </c>
    </row>
    <row r="445" spans="1:19" x14ac:dyDescent="0.3">
      <c r="A445" s="33" t="s">
        <v>15</v>
      </c>
      <c r="B445" s="34" t="s">
        <v>67</v>
      </c>
      <c r="C445" s="35" t="s">
        <v>46</v>
      </c>
      <c r="D445" s="36">
        <v>2</v>
      </c>
      <c r="E445" s="36" t="s">
        <v>67</v>
      </c>
      <c r="F445" s="36" t="s">
        <v>129</v>
      </c>
      <c r="G445" s="36" t="s">
        <v>21</v>
      </c>
      <c r="H445" s="24">
        <f t="shared" si="20"/>
        <v>607.61</v>
      </c>
      <c r="I445" s="24">
        <v>19530</v>
      </c>
      <c r="J445" s="27">
        <v>3.3477999999999999</v>
      </c>
      <c r="K445" s="37">
        <v>0</v>
      </c>
      <c r="L445" s="38">
        <v>46143</v>
      </c>
      <c r="M445" s="12">
        <v>9.2499999999999999E-2</v>
      </c>
      <c r="N445" s="11">
        <f>_xlfn.XLOOKUP(E445,ICMS!C:C,ICMS!D:D)</f>
        <v>0.2</v>
      </c>
      <c r="O445" s="36">
        <f t="shared" si="18"/>
        <v>444</v>
      </c>
      <c r="P445" s="10"/>
      <c r="Q445" s="10" t="s">
        <v>139</v>
      </c>
      <c r="R445" s="28" t="s">
        <v>159</v>
      </c>
      <c r="S445" s="26" t="s">
        <v>162</v>
      </c>
    </row>
    <row r="446" spans="1:19" x14ac:dyDescent="0.3">
      <c r="A446" s="33" t="s">
        <v>15</v>
      </c>
      <c r="B446" s="34" t="s">
        <v>67</v>
      </c>
      <c r="C446" s="35" t="s">
        <v>46</v>
      </c>
      <c r="D446" s="36">
        <v>3</v>
      </c>
      <c r="E446" s="36" t="s">
        <v>67</v>
      </c>
      <c r="F446" s="36" t="s">
        <v>129</v>
      </c>
      <c r="G446" s="36" t="s">
        <v>21</v>
      </c>
      <c r="H446" s="24">
        <f t="shared" si="20"/>
        <v>19530.009999999998</v>
      </c>
      <c r="I446" s="24">
        <v>39060</v>
      </c>
      <c r="J446" s="27">
        <v>3.1816</v>
      </c>
      <c r="K446" s="37">
        <v>0</v>
      </c>
      <c r="L446" s="38">
        <v>46143</v>
      </c>
      <c r="M446" s="12">
        <v>9.2499999999999999E-2</v>
      </c>
      <c r="N446" s="11">
        <f>_xlfn.XLOOKUP(E446,ICMS!C:C,ICMS!D:D)</f>
        <v>0.2</v>
      </c>
      <c r="O446" s="36">
        <f t="shared" si="18"/>
        <v>445</v>
      </c>
      <c r="P446" s="10"/>
      <c r="Q446" s="10" t="s">
        <v>139</v>
      </c>
      <c r="R446" s="28" t="s">
        <v>159</v>
      </c>
      <c r="S446" s="26" t="s">
        <v>162</v>
      </c>
    </row>
    <row r="447" spans="1:19" x14ac:dyDescent="0.3">
      <c r="A447" s="33" t="s">
        <v>15</v>
      </c>
      <c r="B447" s="34" t="s">
        <v>67</v>
      </c>
      <c r="C447" s="35" t="s">
        <v>46</v>
      </c>
      <c r="D447" s="36">
        <v>4</v>
      </c>
      <c r="E447" s="36" t="s">
        <v>67</v>
      </c>
      <c r="F447" s="36" t="s">
        <v>129</v>
      </c>
      <c r="G447" s="36" t="s">
        <v>21</v>
      </c>
      <c r="H447" s="24">
        <f t="shared" si="20"/>
        <v>39060.01</v>
      </c>
      <c r="I447" s="24">
        <v>78120</v>
      </c>
      <c r="J447" s="27">
        <v>3.0428000000000002</v>
      </c>
      <c r="K447" s="37">
        <v>0</v>
      </c>
      <c r="L447" s="38">
        <v>46143</v>
      </c>
      <c r="M447" s="12">
        <v>9.2499999999999999E-2</v>
      </c>
      <c r="N447" s="11">
        <f>_xlfn.XLOOKUP(E447,ICMS!C:C,ICMS!D:D)</f>
        <v>0.2</v>
      </c>
      <c r="O447" s="36">
        <f t="shared" si="18"/>
        <v>446</v>
      </c>
      <c r="P447" s="10"/>
      <c r="Q447" s="10" t="s">
        <v>139</v>
      </c>
      <c r="R447" s="28" t="s">
        <v>159</v>
      </c>
      <c r="S447" s="26" t="s">
        <v>162</v>
      </c>
    </row>
    <row r="448" spans="1:19" x14ac:dyDescent="0.3">
      <c r="A448" s="33" t="s">
        <v>15</v>
      </c>
      <c r="B448" s="34" t="s">
        <v>67</v>
      </c>
      <c r="C448" s="35" t="s">
        <v>46</v>
      </c>
      <c r="D448" s="36">
        <v>5</v>
      </c>
      <c r="E448" s="36" t="s">
        <v>67</v>
      </c>
      <c r="F448" s="36" t="s">
        <v>129</v>
      </c>
      <c r="G448" s="36" t="s">
        <v>21</v>
      </c>
      <c r="H448" s="24">
        <f t="shared" si="20"/>
        <v>78120.009999999995</v>
      </c>
      <c r="I448" s="24">
        <v>156240</v>
      </c>
      <c r="J448" s="27">
        <v>2.9268999999999998</v>
      </c>
      <c r="K448" s="37">
        <v>0</v>
      </c>
      <c r="L448" s="38">
        <v>46143</v>
      </c>
      <c r="M448" s="12">
        <v>9.2499999999999999E-2</v>
      </c>
      <c r="N448" s="11">
        <f>_xlfn.XLOOKUP(E448,ICMS!C:C,ICMS!D:D)</f>
        <v>0.2</v>
      </c>
      <c r="O448" s="36">
        <f t="shared" si="18"/>
        <v>447</v>
      </c>
      <c r="P448" s="10"/>
      <c r="Q448" s="10" t="s">
        <v>139</v>
      </c>
      <c r="R448" s="28" t="s">
        <v>159</v>
      </c>
      <c r="S448" s="26" t="s">
        <v>162</v>
      </c>
    </row>
    <row r="449" spans="1:19" x14ac:dyDescent="0.3">
      <c r="A449" s="33" t="s">
        <v>15</v>
      </c>
      <c r="B449" s="34" t="s">
        <v>67</v>
      </c>
      <c r="C449" s="35" t="s">
        <v>46</v>
      </c>
      <c r="D449" s="36">
        <v>6</v>
      </c>
      <c r="E449" s="36" t="s">
        <v>67</v>
      </c>
      <c r="F449" s="36" t="s">
        <v>129</v>
      </c>
      <c r="G449" s="36" t="s">
        <v>21</v>
      </c>
      <c r="H449" s="24">
        <f t="shared" si="20"/>
        <v>156240.01</v>
      </c>
      <c r="I449" s="24">
        <v>312480</v>
      </c>
      <c r="J449" s="27">
        <v>2.8300999999999998</v>
      </c>
      <c r="K449" s="37">
        <v>0</v>
      </c>
      <c r="L449" s="38">
        <v>46143</v>
      </c>
      <c r="M449" s="12">
        <v>9.2499999999999999E-2</v>
      </c>
      <c r="N449" s="11">
        <f>_xlfn.XLOOKUP(E449,ICMS!C:C,ICMS!D:D)</f>
        <v>0.2</v>
      </c>
      <c r="O449" s="36">
        <f t="shared" si="18"/>
        <v>448</v>
      </c>
      <c r="P449" s="10"/>
      <c r="Q449" s="10" t="s">
        <v>139</v>
      </c>
      <c r="R449" s="28" t="s">
        <v>159</v>
      </c>
      <c r="S449" s="26" t="s">
        <v>162</v>
      </c>
    </row>
    <row r="450" spans="1:19" x14ac:dyDescent="0.3">
      <c r="A450" s="33" t="s">
        <v>15</v>
      </c>
      <c r="B450" s="34" t="s">
        <v>67</v>
      </c>
      <c r="C450" s="35" t="s">
        <v>46</v>
      </c>
      <c r="D450" s="36">
        <v>7</v>
      </c>
      <c r="E450" s="36" t="s">
        <v>67</v>
      </c>
      <c r="F450" s="36" t="s">
        <v>129</v>
      </c>
      <c r="G450" s="36" t="s">
        <v>21</v>
      </c>
      <c r="H450" s="24">
        <f t="shared" si="20"/>
        <v>312480.01</v>
      </c>
      <c r="I450" s="24">
        <v>624960</v>
      </c>
      <c r="J450" s="27">
        <v>2.7492000000000001</v>
      </c>
      <c r="K450" s="37">
        <v>0</v>
      </c>
      <c r="L450" s="38">
        <v>46143</v>
      </c>
      <c r="M450" s="12">
        <v>9.2499999999999999E-2</v>
      </c>
      <c r="N450" s="11">
        <f>_xlfn.XLOOKUP(E450,ICMS!C:C,ICMS!D:D)</f>
        <v>0.2</v>
      </c>
      <c r="O450" s="36">
        <f t="shared" si="18"/>
        <v>449</v>
      </c>
      <c r="P450" s="10"/>
      <c r="Q450" s="10" t="s">
        <v>139</v>
      </c>
      <c r="R450" s="28" t="s">
        <v>159</v>
      </c>
      <c r="S450" s="26" t="s">
        <v>162</v>
      </c>
    </row>
    <row r="451" spans="1:19" x14ac:dyDescent="0.3">
      <c r="A451" s="33" t="s">
        <v>15</v>
      </c>
      <c r="B451" s="34" t="s">
        <v>67</v>
      </c>
      <c r="C451" s="35" t="s">
        <v>46</v>
      </c>
      <c r="D451" s="36">
        <v>8</v>
      </c>
      <c r="E451" s="36" t="s">
        <v>67</v>
      </c>
      <c r="F451" s="36" t="s">
        <v>129</v>
      </c>
      <c r="G451" s="36" t="s">
        <v>21</v>
      </c>
      <c r="H451" s="24">
        <f t="shared" si="20"/>
        <v>624960.01</v>
      </c>
      <c r="I451" s="24">
        <v>1249920</v>
      </c>
      <c r="J451" s="27">
        <v>2.6817000000000002</v>
      </c>
      <c r="K451" s="37">
        <v>0</v>
      </c>
      <c r="L451" s="38">
        <v>46143</v>
      </c>
      <c r="M451" s="12">
        <v>9.2499999999999999E-2</v>
      </c>
      <c r="N451" s="11">
        <f>_xlfn.XLOOKUP(E451,ICMS!C:C,ICMS!D:D)</f>
        <v>0.2</v>
      </c>
      <c r="O451" s="36">
        <f t="shared" si="18"/>
        <v>450</v>
      </c>
      <c r="P451" s="10"/>
      <c r="Q451" s="10" t="s">
        <v>139</v>
      </c>
      <c r="R451" s="28" t="s">
        <v>159</v>
      </c>
      <c r="S451" s="26" t="s">
        <v>162</v>
      </c>
    </row>
    <row r="452" spans="1:19" x14ac:dyDescent="0.3">
      <c r="A452" s="33" t="s">
        <v>15</v>
      </c>
      <c r="B452" s="34" t="s">
        <v>67</v>
      </c>
      <c r="C452" s="35" t="s">
        <v>46</v>
      </c>
      <c r="D452" s="36">
        <v>9</v>
      </c>
      <c r="E452" s="36" t="s">
        <v>67</v>
      </c>
      <c r="F452" s="36" t="s">
        <v>129</v>
      </c>
      <c r="G452" s="36" t="s">
        <v>21</v>
      </c>
      <c r="H452" s="24">
        <f t="shared" si="20"/>
        <v>1249920.01</v>
      </c>
      <c r="I452" s="24">
        <v>4999680</v>
      </c>
      <c r="J452" s="27">
        <v>2.6253000000000002</v>
      </c>
      <c r="K452" s="37">
        <v>0</v>
      </c>
      <c r="L452" s="38">
        <v>46143</v>
      </c>
      <c r="M452" s="12">
        <v>9.2499999999999999E-2</v>
      </c>
      <c r="N452" s="11">
        <f>_xlfn.XLOOKUP(E452,ICMS!C:C,ICMS!D:D)</f>
        <v>0.2</v>
      </c>
      <c r="O452" s="36">
        <f t="shared" ref="O452:O460" si="21">1+O451</f>
        <v>451</v>
      </c>
      <c r="P452" s="10"/>
      <c r="Q452" s="10" t="s">
        <v>139</v>
      </c>
      <c r="R452" s="28" t="s">
        <v>159</v>
      </c>
      <c r="S452" s="26" t="s">
        <v>162</v>
      </c>
    </row>
    <row r="453" spans="1:19" x14ac:dyDescent="0.3">
      <c r="A453" s="33" t="s">
        <v>15</v>
      </c>
      <c r="B453" s="34" t="s">
        <v>67</v>
      </c>
      <c r="C453" s="35" t="s">
        <v>46</v>
      </c>
      <c r="D453" s="36">
        <v>10</v>
      </c>
      <c r="E453" s="36" t="s">
        <v>67</v>
      </c>
      <c r="F453" s="36" t="s">
        <v>129</v>
      </c>
      <c r="G453" s="36" t="s">
        <v>21</v>
      </c>
      <c r="H453" s="24">
        <f t="shared" si="20"/>
        <v>4999680.01</v>
      </c>
      <c r="I453" s="24">
        <v>99999999999</v>
      </c>
      <c r="J453" s="27">
        <v>2.5781000000000001</v>
      </c>
      <c r="K453" s="37">
        <v>0</v>
      </c>
      <c r="L453" s="38">
        <v>46143</v>
      </c>
      <c r="M453" s="12">
        <v>9.2499999999999999E-2</v>
      </c>
      <c r="N453" s="11">
        <f>_xlfn.XLOOKUP(E453,ICMS!C:C,ICMS!D:D)</f>
        <v>0.2</v>
      </c>
      <c r="O453" s="36">
        <f t="shared" si="21"/>
        <v>452</v>
      </c>
      <c r="P453" s="10"/>
      <c r="Q453" s="10" t="s">
        <v>139</v>
      </c>
      <c r="R453" s="28" t="s">
        <v>159</v>
      </c>
      <c r="S453" s="26" t="s">
        <v>162</v>
      </c>
    </row>
    <row r="454" spans="1:19" x14ac:dyDescent="0.3">
      <c r="A454" s="33" t="s">
        <v>13</v>
      </c>
      <c r="B454" s="34" t="s">
        <v>67</v>
      </c>
      <c r="C454" s="35" t="s">
        <v>46</v>
      </c>
      <c r="D454" s="36">
        <v>1</v>
      </c>
      <c r="E454" s="36" t="s">
        <v>67</v>
      </c>
      <c r="F454" s="36" t="s">
        <v>129</v>
      </c>
      <c r="G454" s="36" t="s">
        <v>14</v>
      </c>
      <c r="H454" s="24">
        <v>0</v>
      </c>
      <c r="I454" s="24">
        <v>600</v>
      </c>
      <c r="J454" s="27">
        <v>3.5467</v>
      </c>
      <c r="K454" s="37">
        <v>0</v>
      </c>
      <c r="L454" s="38">
        <v>46143</v>
      </c>
      <c r="M454" s="12">
        <v>9.2499999999999999E-2</v>
      </c>
      <c r="N454" s="11">
        <f>_xlfn.XLOOKUP(E454,ICMS!C:C,ICMS!D:D)</f>
        <v>0.2</v>
      </c>
      <c r="O454" s="36">
        <f t="shared" si="21"/>
        <v>453</v>
      </c>
      <c r="P454" s="36"/>
      <c r="Q454" s="36" t="s">
        <v>139</v>
      </c>
      <c r="R454" s="40" t="s">
        <v>159</v>
      </c>
      <c r="S454" s="39" t="s">
        <v>162</v>
      </c>
    </row>
    <row r="455" spans="1:19" x14ac:dyDescent="0.3">
      <c r="A455" s="33" t="s">
        <v>13</v>
      </c>
      <c r="B455" s="34" t="s">
        <v>67</v>
      </c>
      <c r="C455" s="35" t="s">
        <v>46</v>
      </c>
      <c r="D455" s="36">
        <v>2</v>
      </c>
      <c r="E455" s="36" t="s">
        <v>67</v>
      </c>
      <c r="F455" s="36" t="s">
        <v>129</v>
      </c>
      <c r="G455" s="36" t="s">
        <v>14</v>
      </c>
      <c r="H455" s="24">
        <f t="shared" si="20"/>
        <v>600.01</v>
      </c>
      <c r="I455" s="24">
        <v>1500</v>
      </c>
      <c r="J455" s="27">
        <v>3.5354000000000001</v>
      </c>
      <c r="K455" s="37">
        <v>0</v>
      </c>
      <c r="L455" s="38">
        <v>46143</v>
      </c>
      <c r="M455" s="12">
        <v>9.2499999999999999E-2</v>
      </c>
      <c r="N455" s="11">
        <f>_xlfn.XLOOKUP(E455,ICMS!C:C,ICMS!D:D)</f>
        <v>0.2</v>
      </c>
      <c r="O455" s="36">
        <f t="shared" si="21"/>
        <v>454</v>
      </c>
      <c r="P455" s="36"/>
      <c r="Q455" s="36" t="s">
        <v>139</v>
      </c>
      <c r="R455" s="40" t="s">
        <v>159</v>
      </c>
      <c r="S455" s="39" t="s">
        <v>162</v>
      </c>
    </row>
    <row r="456" spans="1:19" x14ac:dyDescent="0.3">
      <c r="A456" s="33" t="s">
        <v>13</v>
      </c>
      <c r="B456" s="34" t="s">
        <v>67</v>
      </c>
      <c r="C456" s="35" t="s">
        <v>46</v>
      </c>
      <c r="D456" s="36">
        <v>3</v>
      </c>
      <c r="E456" s="36" t="s">
        <v>67</v>
      </c>
      <c r="F456" s="36" t="s">
        <v>129</v>
      </c>
      <c r="G456" s="36" t="s">
        <v>14</v>
      </c>
      <c r="H456" s="24">
        <f t="shared" si="20"/>
        <v>1500.01</v>
      </c>
      <c r="I456" s="24">
        <v>3000</v>
      </c>
      <c r="J456" s="27">
        <v>3.4714999999999998</v>
      </c>
      <c r="K456" s="37">
        <v>0</v>
      </c>
      <c r="L456" s="38">
        <v>46143</v>
      </c>
      <c r="M456" s="12">
        <v>9.2499999999999999E-2</v>
      </c>
      <c r="N456" s="11">
        <f>_xlfn.XLOOKUP(E456,ICMS!C:C,ICMS!D:D)</f>
        <v>0.2</v>
      </c>
      <c r="O456" s="36">
        <f t="shared" si="21"/>
        <v>455</v>
      </c>
      <c r="P456" s="36"/>
      <c r="Q456" s="36" t="s">
        <v>139</v>
      </c>
      <c r="R456" s="40" t="s">
        <v>159</v>
      </c>
      <c r="S456" s="39" t="s">
        <v>162</v>
      </c>
    </row>
    <row r="457" spans="1:19" x14ac:dyDescent="0.3">
      <c r="A457" s="33" t="s">
        <v>13</v>
      </c>
      <c r="B457" s="34" t="s">
        <v>67</v>
      </c>
      <c r="C457" s="35" t="s">
        <v>46</v>
      </c>
      <c r="D457" s="36">
        <v>4</v>
      </c>
      <c r="E457" s="36" t="s">
        <v>67</v>
      </c>
      <c r="F457" s="36" t="s">
        <v>129</v>
      </c>
      <c r="G457" s="36" t="s">
        <v>14</v>
      </c>
      <c r="H457" s="24">
        <f t="shared" si="20"/>
        <v>3000.01</v>
      </c>
      <c r="I457" s="24">
        <v>9000</v>
      </c>
      <c r="J457" s="27">
        <v>3.4327999999999999</v>
      </c>
      <c r="K457" s="37">
        <v>0</v>
      </c>
      <c r="L457" s="38">
        <v>46143</v>
      </c>
      <c r="M457" s="12">
        <v>9.2499999999999999E-2</v>
      </c>
      <c r="N457" s="11">
        <f>_xlfn.XLOOKUP(E457,ICMS!C:C,ICMS!D:D)</f>
        <v>0.2</v>
      </c>
      <c r="O457" s="36">
        <f t="shared" si="21"/>
        <v>456</v>
      </c>
      <c r="P457" s="36"/>
      <c r="Q457" s="36" t="s">
        <v>139</v>
      </c>
      <c r="R457" s="40" t="s">
        <v>159</v>
      </c>
      <c r="S457" s="39" t="s">
        <v>162</v>
      </c>
    </row>
    <row r="458" spans="1:19" x14ac:dyDescent="0.3">
      <c r="A458" s="33" t="s">
        <v>13</v>
      </c>
      <c r="B458" s="34" t="s">
        <v>67</v>
      </c>
      <c r="C458" s="35" t="s">
        <v>46</v>
      </c>
      <c r="D458" s="36">
        <v>5</v>
      </c>
      <c r="E458" s="36" t="s">
        <v>67</v>
      </c>
      <c r="F458" s="36" t="s">
        <v>129</v>
      </c>
      <c r="G458" s="36" t="s">
        <v>14</v>
      </c>
      <c r="H458" s="24">
        <f t="shared" si="20"/>
        <v>9000.01</v>
      </c>
      <c r="I458" s="24">
        <v>99999999999</v>
      </c>
      <c r="J458" s="27">
        <v>3.2667999999999999</v>
      </c>
      <c r="K458" s="37">
        <v>0</v>
      </c>
      <c r="L458" s="38">
        <v>46143</v>
      </c>
      <c r="M458" s="12">
        <v>9.2499999999999999E-2</v>
      </c>
      <c r="N458" s="11">
        <f>_xlfn.XLOOKUP(E458,ICMS!C:C,ICMS!D:D)</f>
        <v>0.2</v>
      </c>
      <c r="O458" s="36">
        <f t="shared" si="21"/>
        <v>457</v>
      </c>
      <c r="P458" s="36"/>
      <c r="Q458" s="36" t="s">
        <v>139</v>
      </c>
      <c r="R458" s="40" t="s">
        <v>159</v>
      </c>
      <c r="S458" s="39" t="s">
        <v>162</v>
      </c>
    </row>
    <row r="459" spans="1:19" x14ac:dyDescent="0.3">
      <c r="A459" s="33" t="s">
        <v>18</v>
      </c>
      <c r="B459" s="34" t="s">
        <v>67</v>
      </c>
      <c r="C459" s="35" t="s">
        <v>46</v>
      </c>
      <c r="D459" s="36">
        <v>1</v>
      </c>
      <c r="E459" s="36" t="s">
        <v>67</v>
      </c>
      <c r="F459" s="36" t="s">
        <v>129</v>
      </c>
      <c r="G459" s="36" t="s">
        <v>17</v>
      </c>
      <c r="H459" s="24">
        <v>0</v>
      </c>
      <c r="I459" s="24">
        <v>99999999999</v>
      </c>
      <c r="J459" s="27">
        <v>4.4962999999999997</v>
      </c>
      <c r="K459" s="37">
        <v>0</v>
      </c>
      <c r="L459" s="38">
        <v>46143</v>
      </c>
      <c r="M459" s="12">
        <v>9.2499999999999999E-2</v>
      </c>
      <c r="N459" s="11">
        <f>_xlfn.XLOOKUP(E459,ICMS!C:C,ICMS!D:D)</f>
        <v>0.2</v>
      </c>
      <c r="O459" s="36">
        <f t="shared" si="21"/>
        <v>458</v>
      </c>
      <c r="P459" s="10"/>
      <c r="Q459" s="10" t="s">
        <v>139</v>
      </c>
      <c r="R459" s="28" t="s">
        <v>159</v>
      </c>
      <c r="S459" s="26" t="s">
        <v>162</v>
      </c>
    </row>
    <row r="460" spans="1:19" x14ac:dyDescent="0.3">
      <c r="A460" s="33" t="s">
        <v>8</v>
      </c>
      <c r="B460" s="34" t="s">
        <v>67</v>
      </c>
      <c r="C460" s="35" t="s">
        <v>46</v>
      </c>
      <c r="D460" s="36">
        <v>1</v>
      </c>
      <c r="E460" s="36" t="s">
        <v>67</v>
      </c>
      <c r="F460" s="36" t="s">
        <v>129</v>
      </c>
      <c r="G460" s="36" t="s">
        <v>17</v>
      </c>
      <c r="H460" s="24">
        <v>0</v>
      </c>
      <c r="I460" s="24">
        <v>99999999999</v>
      </c>
      <c r="J460" s="27">
        <v>4.4962999999999997</v>
      </c>
      <c r="K460" s="37">
        <v>0</v>
      </c>
      <c r="L460" s="38">
        <v>46143</v>
      </c>
      <c r="M460" s="12">
        <v>9.2499999999999999E-2</v>
      </c>
      <c r="N460" s="11">
        <f>_xlfn.XLOOKUP(E460,ICMS!C:C,ICMS!D:D)</f>
        <v>0.2</v>
      </c>
      <c r="O460" s="36">
        <f t="shared" si="21"/>
        <v>459</v>
      </c>
      <c r="P460" s="10"/>
      <c r="Q460" s="10" t="s">
        <v>139</v>
      </c>
      <c r="R460" s="28" t="s">
        <v>159</v>
      </c>
      <c r="S460" s="26" t="s">
        <v>162</v>
      </c>
    </row>
    <row r="462" spans="1:19" x14ac:dyDescent="0.3">
      <c r="F462"/>
      <c r="G462"/>
      <c r="H462"/>
      <c r="I462"/>
      <c r="J462"/>
      <c r="K462"/>
      <c r="L462"/>
      <c r="M462"/>
    </row>
    <row r="463" spans="1:19" x14ac:dyDescent="0.3">
      <c r="F463"/>
      <c r="G463"/>
      <c r="H463"/>
      <c r="I463"/>
      <c r="J463" s="31"/>
      <c r="K463" s="31"/>
      <c r="L463"/>
      <c r="M463"/>
      <c r="N463" s="20"/>
    </row>
    <row r="464" spans="1:19" x14ac:dyDescent="0.3">
      <c r="F464"/>
      <c r="G464"/>
      <c r="H464"/>
      <c r="I464"/>
      <c r="J464" s="32"/>
      <c r="K464"/>
      <c r="L464"/>
      <c r="M464"/>
      <c r="N464"/>
    </row>
    <row r="465" spans="6:14" x14ac:dyDescent="0.3">
      <c r="F465"/>
      <c r="G465"/>
      <c r="H465"/>
      <c r="I465"/>
      <c r="J465" s="15"/>
      <c r="K465" s="15"/>
      <c r="L465"/>
      <c r="M465"/>
      <c r="N465"/>
    </row>
    <row r="466" spans="6:14" x14ac:dyDescent="0.3">
      <c r="F466"/>
      <c r="G466"/>
      <c r="H466"/>
      <c r="I466"/>
      <c r="J466" s="31"/>
      <c r="K466"/>
      <c r="L466"/>
      <c r="N466"/>
    </row>
    <row r="467" spans="6:14" x14ac:dyDescent="0.3">
      <c r="F467"/>
      <c r="G467"/>
      <c r="H467"/>
      <c r="I467"/>
      <c r="J467" s="15"/>
      <c r="K467"/>
      <c r="L467"/>
      <c r="M467"/>
      <c r="N467"/>
    </row>
    <row r="468" spans="6:14" x14ac:dyDescent="0.3">
      <c r="F468"/>
      <c r="G468"/>
      <c r="H468"/>
      <c r="I468"/>
      <c r="J468" s="31"/>
      <c r="K468" s="30"/>
      <c r="L468"/>
      <c r="M468"/>
      <c r="N468"/>
    </row>
    <row r="469" spans="6:14" x14ac:dyDescent="0.3">
      <c r="F469"/>
      <c r="G469"/>
      <c r="H469"/>
      <c r="I469"/>
      <c r="J469" s="15"/>
      <c r="K469" s="31"/>
      <c r="M469"/>
      <c r="N469"/>
    </row>
    <row r="470" spans="6:14" x14ac:dyDescent="0.3">
      <c r="F470"/>
      <c r="G470"/>
      <c r="H470"/>
      <c r="I470"/>
      <c r="J470"/>
      <c r="K470" s="15"/>
      <c r="M470"/>
      <c r="N470"/>
    </row>
    <row r="471" spans="6:14" x14ac:dyDescent="0.3">
      <c r="F471"/>
      <c r="G471"/>
      <c r="H471"/>
      <c r="I471"/>
      <c r="J471"/>
      <c r="K471" s="31"/>
      <c r="L471"/>
      <c r="M471"/>
      <c r="N471"/>
    </row>
    <row r="472" spans="6:14" x14ac:dyDescent="0.3">
      <c r="F472"/>
      <c r="G472"/>
      <c r="H472"/>
      <c r="I472"/>
      <c r="J472"/>
      <c r="K472"/>
      <c r="L472"/>
      <c r="M472"/>
      <c r="N472"/>
    </row>
    <row r="473" spans="6:14" x14ac:dyDescent="0.3">
      <c r="F473"/>
      <c r="G473"/>
      <c r="H473"/>
      <c r="I473"/>
      <c r="J473"/>
      <c r="K473"/>
      <c r="L473"/>
      <c r="M473"/>
      <c r="N473"/>
    </row>
    <row r="474" spans="6:14" x14ac:dyDescent="0.3">
      <c r="F474"/>
      <c r="G474"/>
      <c r="H474"/>
      <c r="I474"/>
      <c r="J474"/>
      <c r="K474"/>
      <c r="L474"/>
      <c r="M474"/>
      <c r="N474"/>
    </row>
    <row r="475" spans="6:14" x14ac:dyDescent="0.3">
      <c r="F475"/>
      <c r="G475"/>
      <c r="H475"/>
      <c r="I475"/>
      <c r="J475"/>
      <c r="K475"/>
      <c r="L475"/>
      <c r="M475"/>
      <c r="N475"/>
    </row>
    <row r="476" spans="6:14" x14ac:dyDescent="0.3">
      <c r="F476"/>
      <c r="G476"/>
      <c r="H476"/>
      <c r="I476"/>
      <c r="J476"/>
      <c r="K476"/>
      <c r="L476"/>
      <c r="M476"/>
      <c r="N476"/>
    </row>
    <row r="477" spans="6:14" x14ac:dyDescent="0.3">
      <c r="F477"/>
      <c r="G477"/>
      <c r="H477"/>
      <c r="I477"/>
      <c r="J477"/>
      <c r="K477"/>
      <c r="L477"/>
      <c r="M477"/>
      <c r="N477"/>
    </row>
    <row r="478" spans="6:14" x14ac:dyDescent="0.3">
      <c r="F478"/>
      <c r="G478"/>
      <c r="H478"/>
      <c r="I478"/>
      <c r="J478"/>
      <c r="K478"/>
      <c r="L478"/>
      <c r="M478"/>
      <c r="N478"/>
    </row>
    <row r="479" spans="6:14" x14ac:dyDescent="0.3">
      <c r="F479"/>
      <c r="G479"/>
      <c r="H479"/>
      <c r="I479"/>
      <c r="J479"/>
      <c r="K479"/>
      <c r="L479"/>
      <c r="M479"/>
    </row>
    <row r="480" spans="6:14" x14ac:dyDescent="0.3">
      <c r="F480"/>
      <c r="G480"/>
      <c r="H480"/>
      <c r="I480"/>
      <c r="J480"/>
      <c r="K480"/>
      <c r="L480"/>
      <c r="M480"/>
    </row>
    <row r="481" spans="6:13" x14ac:dyDescent="0.3">
      <c r="F481"/>
      <c r="G481"/>
      <c r="H481"/>
      <c r="I481"/>
      <c r="J481"/>
      <c r="K481"/>
      <c r="L481"/>
      <c r="M481"/>
    </row>
    <row r="482" spans="6:13" x14ac:dyDescent="0.3">
      <c r="F482"/>
      <c r="G482"/>
      <c r="H482"/>
      <c r="I482"/>
      <c r="J482"/>
      <c r="K482"/>
      <c r="L482"/>
      <c r="M482"/>
    </row>
    <row r="483" spans="6:13" x14ac:dyDescent="0.3">
      <c r="F483"/>
      <c r="G483"/>
      <c r="H483"/>
      <c r="I483"/>
      <c r="J483"/>
      <c r="K483"/>
      <c r="L483"/>
      <c r="M483"/>
    </row>
    <row r="484" spans="6:13" x14ac:dyDescent="0.3">
      <c r="F484"/>
      <c r="G484"/>
      <c r="H484"/>
      <c r="I484"/>
      <c r="J484"/>
      <c r="K484"/>
      <c r="L484"/>
      <c r="M484"/>
    </row>
    <row r="485" spans="6:13" x14ac:dyDescent="0.3">
      <c r="F485"/>
      <c r="G485"/>
      <c r="H485"/>
      <c r="I485"/>
      <c r="J485"/>
      <c r="K485"/>
      <c r="L485"/>
      <c r="M485"/>
    </row>
    <row r="486" spans="6:13" x14ac:dyDescent="0.3">
      <c r="F486"/>
      <c r="G486"/>
      <c r="H486"/>
      <c r="I486"/>
      <c r="J486"/>
      <c r="K486"/>
      <c r="L486"/>
      <c r="M486"/>
    </row>
    <row r="487" spans="6:13" x14ac:dyDescent="0.3">
      <c r="F487"/>
      <c r="G487"/>
      <c r="H487"/>
      <c r="I487"/>
      <c r="J487"/>
      <c r="K487"/>
      <c r="L487"/>
      <c r="M487"/>
    </row>
    <row r="488" spans="6:13" x14ac:dyDescent="0.3">
      <c r="F488"/>
      <c r="G488"/>
      <c r="H488"/>
      <c r="I488"/>
      <c r="J488"/>
      <c r="K488"/>
      <c r="L488"/>
      <c r="M488"/>
    </row>
    <row r="489" spans="6:13" x14ac:dyDescent="0.3">
      <c r="F489"/>
      <c r="G489"/>
      <c r="H489"/>
      <c r="I489"/>
      <c r="J489"/>
      <c r="K489"/>
      <c r="L489"/>
      <c r="M489"/>
    </row>
    <row r="490" spans="6:13" x14ac:dyDescent="0.3">
      <c r="F490"/>
      <c r="G490"/>
      <c r="H490"/>
      <c r="I490"/>
      <c r="J490"/>
      <c r="K490"/>
      <c r="L490"/>
      <c r="M490"/>
    </row>
    <row r="491" spans="6:13" x14ac:dyDescent="0.3">
      <c r="F491"/>
      <c r="G491"/>
      <c r="H491"/>
      <c r="I491"/>
      <c r="J491"/>
      <c r="K491"/>
      <c r="L491"/>
      <c r="M491"/>
    </row>
    <row r="492" spans="6:13" x14ac:dyDescent="0.3">
      <c r="F492"/>
      <c r="G492"/>
      <c r="H492"/>
      <c r="I492"/>
      <c r="J492"/>
      <c r="K492"/>
      <c r="L492"/>
      <c r="M492"/>
    </row>
    <row r="493" spans="6:13" x14ac:dyDescent="0.3">
      <c r="F493"/>
      <c r="G493"/>
      <c r="H493"/>
      <c r="I493"/>
      <c r="J493"/>
      <c r="K493"/>
      <c r="L493"/>
      <c r="M493"/>
    </row>
    <row r="494" spans="6:13" x14ac:dyDescent="0.3">
      <c r="F494"/>
      <c r="G494"/>
      <c r="H494"/>
      <c r="I494"/>
      <c r="J494"/>
      <c r="K494"/>
      <c r="L494"/>
      <c r="M494"/>
    </row>
  </sheetData>
  <phoneticPr fontId="6" type="noConversion"/>
  <hyperlinks>
    <hyperlink ref="R2" r:id="rId1" xr:uid="{A9AC6D46-D35C-4960-BD9E-612AB177539F}"/>
    <hyperlink ref="R3:R20" r:id="rId2" display="https://www.comgas.com.br/sobre-sua-conta/tarifas" xr:uid="{6E6108AD-05BA-495C-8818-475177216AA9}"/>
    <hyperlink ref="R21" r:id="rId3" xr:uid="{BCB3C257-F43F-456F-A1F3-AD18676C78CE}"/>
    <hyperlink ref="R22:R34" r:id="rId4" display="https://www.naturgy.com.br/atendimento/tarifas/tarifa_sao_paulo" xr:uid="{A54AA0A3-25AF-47DB-A398-DC073A5D477A}"/>
    <hyperlink ref="R35" r:id="rId5" xr:uid="{F84426EE-AC4E-493E-B5BA-81422A64CF51}"/>
    <hyperlink ref="R36:R37" r:id="rId6" display="https://www.naturgy.com.br/atendimento/tarifas/tarifa_sao_paulo" xr:uid="{D8628A23-ABD8-4CC4-B221-D02BB0EE914E}"/>
    <hyperlink ref="R38" r:id="rId7" xr:uid="{9DF1E489-78CA-4C04-9CEB-74D1579DA731}"/>
    <hyperlink ref="R39:R41" r:id="rId8" display="https://www.naturgy.com.br/atendimento/tarifas/tarifa_sao_paulo" xr:uid="{36256D3F-12FC-4709-9982-F0CA25957410}"/>
    <hyperlink ref="R106" r:id="rId9" xr:uid="{852BB196-DEA3-4AF7-8D4C-7E6951C07C19}"/>
    <hyperlink ref="R42" r:id="rId10" location="gascanalizado" xr:uid="{EB2D6832-5B8A-441E-9921-AC818501A909}"/>
    <hyperlink ref="R43:R57" r:id="rId11" location="gascanalizado" display="https://www.arsesp.sp.gov.br/Paginas/Tarifas.aspx#gascanalizado" xr:uid="{800A1D27-9542-4BB2-99BE-73AAFCCFFBE7}"/>
    <hyperlink ref="R58" r:id="rId12" xr:uid="{5D30933F-97DB-461D-9FF7-D3F574F296A2}"/>
    <hyperlink ref="R82" r:id="rId13" xr:uid="{E78CB6CB-9571-4A84-B1D3-479AB3C1D89B}"/>
    <hyperlink ref="R83:R105" r:id="rId14" display="https://www.naturgy.com.br/atendimento/tarifas/tarifa_rio_de_janeiro/" xr:uid="{621687C0-E88F-417E-A300-364AFA52ED02}"/>
    <hyperlink ref="R59:R81" r:id="rId15" display="https://www.naturgy.com.br/atendimento/tarifas/tarifa_rio_de_janeiro/" xr:uid="{5817C406-9DC3-4F7A-B4C5-0E8AD0318DF0}"/>
    <hyperlink ref="R107:R129" r:id="rId16" display="https://arsp.es.gov.br/gas/tarifas/ESGas/tarifavigente" xr:uid="{44DC54D3-8A27-4424-9363-1E57E85F68BB}"/>
    <hyperlink ref="R130" r:id="rId17" xr:uid="{69D6DF04-D5F1-42CA-8F3E-4F7ACA7504F8}"/>
    <hyperlink ref="R148" r:id="rId18" xr:uid="{DFC2B8BC-4A26-4205-9E49-C0C675567E44}"/>
    <hyperlink ref="R145:R147" r:id="rId19" display="https://gasmig.com.br/comercial/" xr:uid="{08242DB1-2FF2-42B1-887C-1EEED6073342}"/>
    <hyperlink ref="R139:R146" r:id="rId20" display="https://gasmig.com.br/comercial/" xr:uid="{288170BB-A24E-482C-AF16-63A2E315F68F}"/>
    <hyperlink ref="R159" r:id="rId21" xr:uid="{9CDCEDA4-2B39-470D-AA2D-799F71439F37}"/>
    <hyperlink ref="R160:R185" r:id="rId22" display="https://www.compagas.com.br/portal-de-tarifas/" xr:uid="{16A465C7-84B4-481B-B809-CEEB90800BA4}"/>
    <hyperlink ref="R186" r:id="rId23" xr:uid="{97756645-589D-4E55-914F-FB77F348544B}"/>
    <hyperlink ref="R187:R203" r:id="rId24" display="https://www.scgas.com.br/scgas/site/destaque/tarifas-e-simuladores" xr:uid="{9EAD8179-7610-4C96-A0AB-19212D080E9D}"/>
    <hyperlink ref="R226" r:id="rId25" xr:uid="{097112A1-6FAF-4589-98C0-ACDEBFEB729B}"/>
    <hyperlink ref="R227:R249" r:id="rId26" display="https://msgas.com.br/" xr:uid="{BFBB72A0-530E-4DFE-A276-D0688079D6A8}"/>
    <hyperlink ref="R250" r:id="rId27" xr:uid="{C1F62E98-441E-43B9-93E2-D94BA98C1EFC}"/>
    <hyperlink ref="R251:R259" r:id="rId28" display="https://mtgas.com.br/tarifas/" xr:uid="{608855E3-8145-43F0-8A2C-9A66C23DB025}"/>
    <hyperlink ref="R260" r:id="rId29" xr:uid="{C1FD9446-B2C7-4F2D-88B9-D2C04C22F026}"/>
    <hyperlink ref="R261:R281" r:id="rId30" display="https://www.cigas.com.br/tabela-tarifaria" xr:uid="{461C5032-0E94-4DC1-B23D-FF1B45AC0196}"/>
    <hyperlink ref="R282" r:id="rId31" xr:uid="{6718F97D-AEC0-4892-882C-09C51EF6F7E8}"/>
    <hyperlink ref="R283:R314" r:id="rId32" display="https://www.arsal.al.gov.br/tarifas-mercado-cativo1/category/362-estrutura-tarifaria" xr:uid="{C3B7FE4C-E65A-4A60-BC20-7FCA155C9D97}"/>
    <hyperlink ref="R315" r:id="rId33" xr:uid="{D5EADC55-F7E4-4536-AD07-3AE4EA4A8660}"/>
    <hyperlink ref="R316:R350" r:id="rId34" display="https://www.bahiagas.com.br/noticias/item/507-nova-tabela-tarifaria" xr:uid="{7BE4BAE6-A050-48B1-9DED-67C0ED3CDE17}"/>
    <hyperlink ref="R351" r:id="rId35" xr:uid="{DCCACFA0-F4C8-47EA-B45E-80F1476B87D9}"/>
    <hyperlink ref="R352:R374" r:id="rId36" display="https://www.cegas.com.br/gas-natural/tabela-de-tarifas-atual-3/" xr:uid="{E93D0626-454F-4017-B875-91B9D2E7AB3B}"/>
    <hyperlink ref="R375" r:id="rId37" xr:uid="{51A5395D-F216-49BE-8EA8-E07CA2BD81B0}"/>
    <hyperlink ref="R376:R399" r:id="rId38" display="https://pbgas.com.br/tarifas/" xr:uid="{FD9CB00E-A8EF-4005-AB48-6ED5EDBC19B8}"/>
    <hyperlink ref="R400" r:id="rId39" xr:uid="{75EC7A45-5F0C-45B1-81A7-0F9DC5F0C7EB}"/>
    <hyperlink ref="R401:R426" r:id="rId40" display="https://copergas.com.br/informacoes/tarifas/" xr:uid="{15B59014-95B9-4231-8156-80A7E6C85CBC}"/>
    <hyperlink ref="R429" r:id="rId41" xr:uid="{DA0CD673-347D-4E2E-BC23-DF70042B4B5F}"/>
    <hyperlink ref="R61" r:id="rId42" xr:uid="{4D06142A-76A9-41B4-AA02-E615185C083A}"/>
    <hyperlink ref="R62" r:id="rId43" xr:uid="{173B3A29-8BB7-4B8A-B0F9-A9F1CD27AF7D}"/>
    <hyperlink ref="R63" r:id="rId44" xr:uid="{A2D673E6-3BC3-4B6A-83B8-CE1E662A8C29}"/>
    <hyperlink ref="R64" r:id="rId45" xr:uid="{BB955CC4-A68A-49BB-A714-3B7CE0993D88}"/>
    <hyperlink ref="R65" r:id="rId46" xr:uid="{AE75B83E-2C03-43ED-9B87-A321E8491B65}"/>
    <hyperlink ref="R86" r:id="rId47" xr:uid="{5F4F05FA-3452-449D-97AC-19D4753DE947}"/>
    <hyperlink ref="R87:R89" r:id="rId48" display="https://www.naturgy.com.br/atendimento/tarifas/tarifa_rio_de_janeiro/" xr:uid="{5F3C5A69-C24D-45E8-AA47-DE16A1A32EBA}"/>
    <hyperlink ref="R427" r:id="rId49" xr:uid="{FD566747-E7E3-4301-965C-DE363B1ADEE7}"/>
    <hyperlink ref="R209" r:id="rId50" xr:uid="{95F8C595-50D7-45C4-ADBA-443744D2C4B6}"/>
    <hyperlink ref="R204" r:id="rId51" display="https://potigas.com.br/sistema-tarifario/vigente" xr:uid="{24F58083-EEF4-47BD-983F-94B5D2ACF438}"/>
    <hyperlink ref="R205" r:id="rId52" display="https://potigas.com.br/sistema-tarifario/vigente" xr:uid="{70A2C50D-88FB-4627-B2F9-9C152D632AE2}"/>
    <hyperlink ref="R206" r:id="rId53" display="https://potigas.com.br/sistema-tarifario/vigente" xr:uid="{73B3E2F1-2D51-4113-888E-757DE24CF4D6}"/>
    <hyperlink ref="R44" r:id="rId54" location="gascanalizado" xr:uid="{6653B1C7-B236-42C9-B5CC-8E68E370F6E6}"/>
    <hyperlink ref="R26" r:id="rId55" xr:uid="{0C6B0BDE-94A5-499B-B04D-C9B65E8670EE}"/>
    <hyperlink ref="R27" r:id="rId56" xr:uid="{8EA6C1CB-CB43-45D3-8AE0-7044AB3120F0}"/>
    <hyperlink ref="R28" r:id="rId57" xr:uid="{FF777F88-8E4E-47ED-9BD8-5AB16B64914E}"/>
    <hyperlink ref="R32" r:id="rId58" xr:uid="{085A1178-FA45-4A84-A712-FA860C585913}"/>
    <hyperlink ref="R40" r:id="rId59" xr:uid="{78C5B6D8-9BC3-4939-A8D4-8841D8A72F0B}"/>
    <hyperlink ref="R218" r:id="rId60" xr:uid="{0F1D9268-6619-47D5-8F33-199374801946}"/>
    <hyperlink ref="R330" r:id="rId61" xr:uid="{183FDAE2-043A-48FA-A4D3-5B35791DCB45}"/>
    <hyperlink ref="R136" r:id="rId62" xr:uid="{CAED169E-CB52-4F1A-A103-14D1BD776500}"/>
    <hyperlink ref="R443" r:id="rId63" xr:uid="{5AC1218D-8C0A-43F0-9AB4-B43972FFC9C3}"/>
    <hyperlink ref="R441" r:id="rId64" xr:uid="{7C379AF9-4CCC-4400-8861-29156A293889}"/>
    <hyperlink ref="R445" r:id="rId65" xr:uid="{C6D43414-7037-44DF-96B3-73E5BC6C65B1}"/>
    <hyperlink ref="R138" r:id="rId66" xr:uid="{AD3EB993-130E-433F-8986-177386DF5105}"/>
    <hyperlink ref="R453" r:id="rId67" xr:uid="{5798BB48-1923-40BB-A3B6-9CD89D6CD060}"/>
    <hyperlink ref="R286" r:id="rId68" xr:uid="{D7790EB0-CD3D-4356-AE59-1972E2193020}"/>
    <hyperlink ref="R287" r:id="rId69" xr:uid="{20BAB351-A08B-4065-AB38-5A2ADB18EC7C}"/>
    <hyperlink ref="R288" r:id="rId70" xr:uid="{233DFB68-5DF0-430D-AC6C-E8997A72AC64}"/>
    <hyperlink ref="R292" r:id="rId71" xr:uid="{B54D87EE-5899-4F78-990E-8FDBBDDE1D69}"/>
    <hyperlink ref="R293" r:id="rId72" xr:uid="{738EEBB6-89E3-4026-9780-F5882DD7F9DB}"/>
    <hyperlink ref="R294" r:id="rId73" xr:uid="{3C932492-4176-40CE-A743-33624B1528BE}"/>
    <hyperlink ref="R295" r:id="rId74" xr:uid="{3712D086-2A90-4342-B67C-D757EEAA85F3}"/>
    <hyperlink ref="R296" r:id="rId75" xr:uid="{CA0C6BD1-9FF3-45A7-AB17-161FA510CED4}"/>
    <hyperlink ref="R297" r:id="rId76" xr:uid="{E966F2B5-C930-4FA5-A6B3-C76EAF8DEDB2}"/>
    <hyperlink ref="R298" r:id="rId77" xr:uid="{9EA15790-9EDE-4B5E-AAA3-B4793F030329}"/>
    <hyperlink ref="R299" r:id="rId78" xr:uid="{748AA980-3F14-44FF-AD29-988C158D90A8}"/>
    <hyperlink ref="R300" r:id="rId79" xr:uid="{9C435CAC-EC02-4821-B126-92F896FB538B}"/>
    <hyperlink ref="R301" r:id="rId80" xr:uid="{0D0B6458-B957-4B25-9A3B-EB296C47AC1D}"/>
    <hyperlink ref="R302" r:id="rId81" xr:uid="{A108C7B9-0F51-4D9B-9D1E-E6A9B3B1766F}"/>
    <hyperlink ref="R303" r:id="rId82" xr:uid="{0DB2F2EF-4966-4ACD-BBF0-9D81DB791AB9}"/>
    <hyperlink ref="R304" r:id="rId83" xr:uid="{782E12A6-178D-4B3F-9CF0-68D489D0F305}"/>
    <hyperlink ref="R305" r:id="rId84" xr:uid="{DB40AA18-680A-4A4E-8876-3E748EF85C2F}"/>
    <hyperlink ref="R306" r:id="rId85" xr:uid="{278DE117-CB95-424B-9CA7-2E7F8AC39031}"/>
    <hyperlink ref="R307" r:id="rId86" xr:uid="{ABAABF44-3458-4014-94F9-A4BE3E01442C}"/>
    <hyperlink ref="R308" r:id="rId87" xr:uid="{E0068D25-FD91-47AF-B37C-077EDE889736}"/>
    <hyperlink ref="R309" r:id="rId88" xr:uid="{5DC5D5BE-8CB7-49E4-80B7-676D7BD87B9A}"/>
    <hyperlink ref="R310" r:id="rId89" xr:uid="{2673341B-6AFE-4AF9-AFCA-AD91AD2EAEA5}"/>
    <hyperlink ref="R311" r:id="rId90" xr:uid="{6F718C7F-8B3F-4433-80B6-CC4C75CB15DF}"/>
    <hyperlink ref="R312" r:id="rId91" xr:uid="{81AC248A-0E92-4CF6-9084-102AEE25206F}"/>
    <hyperlink ref="R313" r:id="rId92" xr:uid="{13271594-FDCD-49F5-9579-420A8F645828}"/>
    <hyperlink ref="R314" r:id="rId93" xr:uid="{46E23D9B-6CAC-4F36-911D-ADA522AD87B8}"/>
    <hyperlink ref="R460" r:id="rId94" xr:uid="{5F24AE14-FA7B-4DDF-B663-EC4E0E31F425}"/>
    <hyperlink ref="R444" r:id="rId95" xr:uid="{7491076F-47D8-451B-90D7-6615473FA1D4}"/>
  </hyperlinks>
  <pageMargins left="0.511811024" right="0.511811024" top="0.78740157499999996" bottom="0.78740157499999996" header="0.31496062000000002" footer="0.31496062000000002"/>
  <pageSetup paperSize="9" orientation="portrait" r:id="rId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F3AC-A3C0-48C7-A1F8-F769C53A635A}">
  <dimension ref="B2:D5"/>
  <sheetViews>
    <sheetView workbookViewId="0">
      <selection activeCell="D5" sqref="D5"/>
    </sheetView>
  </sheetViews>
  <sheetFormatPr defaultRowHeight="14.4" x14ac:dyDescent="0.3"/>
  <cols>
    <col min="2" max="2" width="30.33203125" bestFit="1" customWidth="1"/>
    <col min="3" max="3" width="10" bestFit="1" customWidth="1"/>
    <col min="4" max="4" width="13.6640625" bestFit="1" customWidth="1"/>
  </cols>
  <sheetData>
    <row r="2" spans="2:4" x14ac:dyDescent="0.3">
      <c r="B2" t="s">
        <v>177</v>
      </c>
      <c r="C2" s="29">
        <v>2.8763000000000001</v>
      </c>
    </row>
    <row r="3" spans="2:4" x14ac:dyDescent="0.3">
      <c r="B3" t="s">
        <v>178</v>
      </c>
      <c r="C3" s="29">
        <f>C2*(1-9/100)</f>
        <v>2.6174330000000001</v>
      </c>
      <c r="D3" s="29" t="e">
        <f>Tarifario!#REF!*(1-8.9/100)</f>
        <v>#REF!</v>
      </c>
    </row>
    <row r="4" spans="2:4" x14ac:dyDescent="0.3">
      <c r="B4" t="s">
        <v>179</v>
      </c>
      <c r="C4" s="29">
        <f>C3/(1-9/100)/(1-15/100)</f>
        <v>3.3838823529411766</v>
      </c>
      <c r="D4" s="29" t="e">
        <f>Tarifario!#REF!/(1-8.9/100)/(1-15/100)</f>
        <v>#REF!</v>
      </c>
    </row>
    <row r="5" spans="2:4" x14ac:dyDescent="0.3">
      <c r="B5" t="s">
        <v>181</v>
      </c>
      <c r="C5" s="29">
        <f>C4*(1-9/100)*(1-15/100)</f>
        <v>2.6174330000000001</v>
      </c>
      <c r="D5" s="2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74C-DE2B-4120-AB9F-6A1D04045C3A}">
  <dimension ref="A1:B13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2</v>
      </c>
      <c r="B1" t="s">
        <v>130</v>
      </c>
    </row>
    <row r="2" spans="1:2" x14ac:dyDescent="0.3">
      <c r="A2" t="s">
        <v>52</v>
      </c>
      <c r="B2" t="s">
        <v>111</v>
      </c>
    </row>
    <row r="3" spans="1:2" x14ac:dyDescent="0.3">
      <c r="A3" t="s">
        <v>53</v>
      </c>
      <c r="B3" t="s">
        <v>111</v>
      </c>
    </row>
    <row r="4" spans="1:2" x14ac:dyDescent="0.3">
      <c r="A4" t="s">
        <v>68</v>
      </c>
      <c r="B4" t="s">
        <v>111</v>
      </c>
    </row>
    <row r="5" spans="1:2" x14ac:dyDescent="0.3">
      <c r="A5" t="s">
        <v>69</v>
      </c>
      <c r="B5" t="s">
        <v>111</v>
      </c>
    </row>
    <row r="6" spans="1:2" x14ac:dyDescent="0.3">
      <c r="A6" t="s">
        <v>62</v>
      </c>
      <c r="B6" t="s">
        <v>111</v>
      </c>
    </row>
    <row r="7" spans="1:2" x14ac:dyDescent="0.3">
      <c r="A7" t="s">
        <v>55</v>
      </c>
      <c r="B7" t="s">
        <v>111</v>
      </c>
    </row>
    <row r="8" spans="1:2" x14ac:dyDescent="0.3">
      <c r="A8" t="s">
        <v>65</v>
      </c>
      <c r="B8" t="s">
        <v>111</v>
      </c>
    </row>
    <row r="9" spans="1:2" x14ac:dyDescent="0.3">
      <c r="A9" t="s">
        <v>56</v>
      </c>
      <c r="B9" t="s">
        <v>111</v>
      </c>
    </row>
    <row r="10" spans="1:2" x14ac:dyDescent="0.3">
      <c r="A10" t="s">
        <v>57</v>
      </c>
      <c r="B10" t="s">
        <v>111</v>
      </c>
    </row>
    <row r="11" spans="1:2" x14ac:dyDescent="0.3">
      <c r="A11" t="s">
        <v>58</v>
      </c>
      <c r="B11" t="s">
        <v>111</v>
      </c>
    </row>
    <row r="13" spans="1:2" x14ac:dyDescent="0.3">
      <c r="A13">
        <f>COUNTA(A2:A11)</f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7ADF-3956-41D0-8FBF-A5FA72B333E4}">
  <dimension ref="B2:E29"/>
  <sheetViews>
    <sheetView showGridLines="0" workbookViewId="0">
      <selection activeCell="O8" sqref="O8"/>
    </sheetView>
  </sheetViews>
  <sheetFormatPr defaultRowHeight="14.4" x14ac:dyDescent="0.3"/>
  <cols>
    <col min="2" max="2" width="8.77734375" bestFit="1" customWidth="1"/>
    <col min="3" max="3" width="5.44140625" bestFit="1" customWidth="1"/>
    <col min="4" max="4" width="7.5546875" style="13" bestFit="1" customWidth="1"/>
    <col min="5" max="5" width="9.5546875" bestFit="1" customWidth="1"/>
    <col min="6" max="7" width="3.5546875" bestFit="1" customWidth="1"/>
    <col min="8" max="8" width="3.33203125" bestFit="1" customWidth="1"/>
    <col min="9" max="10" width="3.5546875" bestFit="1" customWidth="1"/>
    <col min="11" max="11" width="3.88671875" bestFit="1" customWidth="1"/>
    <col min="12" max="12" width="3.5546875" bestFit="1" customWidth="1"/>
    <col min="13" max="13" width="3.44140625" bestFit="1" customWidth="1"/>
    <col min="14" max="14" width="2.88671875" bestFit="1" customWidth="1"/>
    <col min="15" max="15" width="3.77734375" bestFit="1" customWidth="1"/>
    <col min="16" max="16" width="3.33203125" bestFit="1" customWidth="1"/>
    <col min="17" max="17" width="3.5546875" bestFit="1" customWidth="1"/>
    <col min="18" max="18" width="4" bestFit="1" customWidth="1"/>
    <col min="19" max="19" width="3.6640625" bestFit="1" customWidth="1"/>
    <col min="20" max="20" width="3.77734375" bestFit="1" customWidth="1"/>
    <col min="21" max="21" width="3.33203125" bestFit="1" customWidth="1"/>
    <col min="22" max="22" width="4.109375" bestFit="1" customWidth="1"/>
    <col min="23" max="23" width="3.109375" bestFit="1" customWidth="1"/>
    <col min="24" max="24" width="3.44140625" bestFit="1" customWidth="1"/>
    <col min="25" max="25" width="3.5546875" bestFit="1" customWidth="1"/>
    <col min="26" max="26" width="3.44140625" bestFit="1" customWidth="1"/>
    <col min="27" max="27" width="4.109375" bestFit="1" customWidth="1"/>
  </cols>
  <sheetData>
    <row r="2" spans="2:5" x14ac:dyDescent="0.3">
      <c r="B2" s="14" t="s">
        <v>73</v>
      </c>
      <c r="C2" s="14" t="s">
        <v>2</v>
      </c>
      <c r="D2" s="13" t="s">
        <v>72</v>
      </c>
      <c r="E2" s="14" t="s">
        <v>131</v>
      </c>
    </row>
    <row r="3" spans="2:5" x14ac:dyDescent="0.3">
      <c r="B3" t="s">
        <v>75</v>
      </c>
      <c r="C3" t="s">
        <v>68</v>
      </c>
      <c r="E3" t="str">
        <f>_xlfn.XLOOKUP(C3,'uf sem GN'!A:A,'uf sem GN'!B:B,"Sim")</f>
        <v>Nao</v>
      </c>
    </row>
    <row r="4" spans="2:5" x14ac:dyDescent="0.3">
      <c r="B4" t="s">
        <v>75</v>
      </c>
      <c r="C4" t="s">
        <v>69</v>
      </c>
      <c r="E4" t="str">
        <f>_xlfn.XLOOKUP(C4,'uf sem GN'!A:A,'uf sem GN'!B:B,"Sim")</f>
        <v>Nao</v>
      </c>
    </row>
    <row r="5" spans="2:5" x14ac:dyDescent="0.3">
      <c r="B5" t="s">
        <v>132</v>
      </c>
      <c r="C5" t="s">
        <v>52</v>
      </c>
      <c r="E5" t="str">
        <f>_xlfn.XLOOKUP(C5,'uf sem GN'!A:A,'uf sem GN'!B:B,"Sim")</f>
        <v>Nao</v>
      </c>
    </row>
    <row r="6" spans="2:5" x14ac:dyDescent="0.3">
      <c r="B6" t="s">
        <v>132</v>
      </c>
      <c r="C6" t="s">
        <v>53</v>
      </c>
      <c r="E6" t="str">
        <f>_xlfn.XLOOKUP(C6,'uf sem GN'!A:A,'uf sem GN'!B:B,"Sim")</f>
        <v>Nao</v>
      </c>
    </row>
    <row r="7" spans="2:5" x14ac:dyDescent="0.3">
      <c r="B7" t="s">
        <v>132</v>
      </c>
      <c r="C7" t="s">
        <v>55</v>
      </c>
      <c r="E7" t="str">
        <f>_xlfn.XLOOKUP(C7,'uf sem GN'!A:A,'uf sem GN'!B:B,"Sim")</f>
        <v>Nao</v>
      </c>
    </row>
    <row r="8" spans="2:5" x14ac:dyDescent="0.3">
      <c r="B8" t="s">
        <v>132</v>
      </c>
      <c r="C8" t="s">
        <v>56</v>
      </c>
      <c r="E8" t="str">
        <f>_xlfn.XLOOKUP(C8,'uf sem GN'!A:A,'uf sem GN'!B:B,"Sim")</f>
        <v>Nao</v>
      </c>
    </row>
    <row r="9" spans="2:5" x14ac:dyDescent="0.3">
      <c r="B9" t="s">
        <v>132</v>
      </c>
      <c r="C9" t="s">
        <v>57</v>
      </c>
      <c r="E9" t="str">
        <f>_xlfn.XLOOKUP(C9,'uf sem GN'!A:A,'uf sem GN'!B:B,"Sim")</f>
        <v>Nao</v>
      </c>
    </row>
    <row r="10" spans="2:5" x14ac:dyDescent="0.3">
      <c r="B10" t="s">
        <v>132</v>
      </c>
      <c r="C10" t="s">
        <v>58</v>
      </c>
      <c r="E10" t="str">
        <f>_xlfn.XLOOKUP(C10,'uf sem GN'!A:A,'uf sem GN'!B:B,"Sim")</f>
        <v>Nao</v>
      </c>
    </row>
    <row r="11" spans="2:5" x14ac:dyDescent="0.3">
      <c r="B11" t="s">
        <v>133</v>
      </c>
      <c r="C11" t="s">
        <v>62</v>
      </c>
      <c r="E11" t="str">
        <f>_xlfn.XLOOKUP(C11,'uf sem GN'!A:A,'uf sem GN'!B:B,"Sim")</f>
        <v>Nao</v>
      </c>
    </row>
    <row r="12" spans="2:5" x14ac:dyDescent="0.3">
      <c r="B12" t="s">
        <v>133</v>
      </c>
      <c r="C12" t="s">
        <v>65</v>
      </c>
      <c r="E12" t="str">
        <f>_xlfn.XLOOKUP(C12,'uf sem GN'!A:A,'uf sem GN'!B:B,"Sim")</f>
        <v>Nao</v>
      </c>
    </row>
    <row r="13" spans="2:5" x14ac:dyDescent="0.3">
      <c r="B13" t="s">
        <v>75</v>
      </c>
      <c r="C13" t="s">
        <v>70</v>
      </c>
      <c r="D13" s="13">
        <v>0.17</v>
      </c>
      <c r="E13" t="str">
        <f>_xlfn.XLOOKUP(C13,'uf sem GN'!A:A,'uf sem GN'!B:B,"Sim")</f>
        <v>Sim</v>
      </c>
    </row>
    <row r="14" spans="2:5" x14ac:dyDescent="0.3">
      <c r="B14" t="s">
        <v>75</v>
      </c>
      <c r="C14" t="s">
        <v>71</v>
      </c>
      <c r="D14" s="13">
        <v>0.17</v>
      </c>
      <c r="E14" t="str">
        <f>_xlfn.XLOOKUP(C14,'uf sem GN'!A:A,'uf sem GN'!B:B,"Sim")</f>
        <v>Sim</v>
      </c>
    </row>
    <row r="15" spans="2:5" x14ac:dyDescent="0.3">
      <c r="B15" t="s">
        <v>132</v>
      </c>
      <c r="C15" t="s">
        <v>54</v>
      </c>
      <c r="D15" s="13">
        <v>0.2</v>
      </c>
      <c r="E15" t="str">
        <f>_xlfn.XLOOKUP(C15,'uf sem GN'!A:A,'uf sem GN'!B:B,"Sim")</f>
        <v>Sim</v>
      </c>
    </row>
    <row r="16" spans="2:5" x14ac:dyDescent="0.3">
      <c r="B16" t="s">
        <v>133</v>
      </c>
      <c r="C16" t="s">
        <v>59</v>
      </c>
      <c r="D16" s="13">
        <v>0.2</v>
      </c>
      <c r="E16" t="str">
        <f>_xlfn.XLOOKUP(C16,'uf sem GN'!A:A,'uf sem GN'!B:B,"Sim")</f>
        <v>Sim</v>
      </c>
    </row>
    <row r="17" spans="2:5" x14ac:dyDescent="0.3">
      <c r="B17" t="s">
        <v>133</v>
      </c>
      <c r="C17" t="s">
        <v>60</v>
      </c>
      <c r="D17" s="13">
        <v>0.12</v>
      </c>
      <c r="E17" t="str">
        <f>_xlfn.XLOOKUP(C17,'uf sem GN'!A:A,'uf sem GN'!B:B,"Sim")</f>
        <v>Sim</v>
      </c>
    </row>
    <row r="18" spans="2:5" x14ac:dyDescent="0.3">
      <c r="B18" t="s">
        <v>133</v>
      </c>
      <c r="C18" t="s">
        <v>61</v>
      </c>
      <c r="D18" s="13">
        <v>0.2</v>
      </c>
      <c r="E18" t="str">
        <f>_xlfn.XLOOKUP(C18,'uf sem GN'!A:A,'uf sem GN'!B:B,"Sim")</f>
        <v>Sim</v>
      </c>
    </row>
    <row r="19" spans="2:5" x14ac:dyDescent="0.3">
      <c r="B19" t="s">
        <v>133</v>
      </c>
      <c r="C19" t="s">
        <v>63</v>
      </c>
      <c r="D19" s="13">
        <v>0.2</v>
      </c>
      <c r="E19" t="str">
        <f>_xlfn.XLOOKUP(C19,'uf sem GN'!A:A,'uf sem GN'!B:B,"Sim")</f>
        <v>Sim</v>
      </c>
    </row>
    <row r="20" spans="2:5" x14ac:dyDescent="0.3">
      <c r="B20" t="s">
        <v>133</v>
      </c>
      <c r="C20" t="s">
        <v>64</v>
      </c>
      <c r="D20" s="13">
        <v>0.20499999999999999</v>
      </c>
      <c r="E20" t="str">
        <f>_xlfn.XLOOKUP(C20,'uf sem GN'!A:A,'uf sem GN'!B:B,"Sim")</f>
        <v>Sim</v>
      </c>
    </row>
    <row r="21" spans="2:5" x14ac:dyDescent="0.3">
      <c r="B21" t="s">
        <v>133</v>
      </c>
      <c r="C21" t="s">
        <v>66</v>
      </c>
      <c r="D21" s="13">
        <v>0.2</v>
      </c>
      <c r="E21" t="str">
        <f>_xlfn.XLOOKUP(C21,'uf sem GN'!A:A,'uf sem GN'!B:B,"Sim")</f>
        <v>Sim</v>
      </c>
    </row>
    <row r="22" spans="2:5" x14ac:dyDescent="0.3">
      <c r="B22" t="s">
        <v>133</v>
      </c>
      <c r="C22" t="s">
        <v>67</v>
      </c>
      <c r="D22" s="13">
        <v>0.2</v>
      </c>
      <c r="E22" t="str">
        <f>_xlfn.XLOOKUP(C22,'uf sem GN'!A:A,'uf sem GN'!B:B,"Sim")</f>
        <v>Sim</v>
      </c>
    </row>
    <row r="23" spans="2:5" x14ac:dyDescent="0.3">
      <c r="B23" t="s">
        <v>74</v>
      </c>
      <c r="C23" t="s">
        <v>41</v>
      </c>
      <c r="D23" s="13">
        <v>0.12</v>
      </c>
      <c r="E23" t="str">
        <f>_xlfn.XLOOKUP(C23,'uf sem GN'!A:A,'uf sem GN'!B:B,"Sim")</f>
        <v>Sim</v>
      </c>
    </row>
    <row r="24" spans="2:5" x14ac:dyDescent="0.3">
      <c r="B24" t="s">
        <v>74</v>
      </c>
      <c r="C24" t="s">
        <v>48</v>
      </c>
      <c r="D24" s="13">
        <v>0.12</v>
      </c>
      <c r="E24" t="str">
        <f>_xlfn.XLOOKUP(C24,'uf sem GN'!A:A,'uf sem GN'!B:B,"Sim")</f>
        <v>Sim</v>
      </c>
    </row>
    <row r="25" spans="2:5" x14ac:dyDescent="0.3">
      <c r="B25" t="s">
        <v>74</v>
      </c>
      <c r="C25" t="s">
        <v>45</v>
      </c>
      <c r="D25" s="13">
        <v>0.17</v>
      </c>
      <c r="E25" t="str">
        <f>_xlfn.XLOOKUP(C25,'uf sem GN'!A:A,'uf sem GN'!B:B,"Sim")</f>
        <v>Sim</v>
      </c>
    </row>
    <row r="26" spans="2:5" x14ac:dyDescent="0.3">
      <c r="B26" t="s">
        <v>67</v>
      </c>
      <c r="C26" t="s">
        <v>33</v>
      </c>
      <c r="D26" s="13">
        <v>0.12</v>
      </c>
      <c r="E26" t="str">
        <f>_xlfn.XLOOKUP(C26,'uf sem GN'!A:A,'uf sem GN'!B:B,"Sim")</f>
        <v>Sim</v>
      </c>
    </row>
    <row r="27" spans="2:5" x14ac:dyDescent="0.3">
      <c r="B27" t="s">
        <v>67</v>
      </c>
      <c r="C27" t="s">
        <v>36</v>
      </c>
      <c r="D27" s="13">
        <v>0.18</v>
      </c>
      <c r="E27" t="str">
        <f>_xlfn.XLOOKUP(C27,'uf sem GN'!A:A,'uf sem GN'!B:B,"Sim")</f>
        <v>Sim</v>
      </c>
    </row>
    <row r="28" spans="2:5" x14ac:dyDescent="0.3">
      <c r="B28" t="s">
        <v>67</v>
      </c>
      <c r="C28" t="s">
        <v>27</v>
      </c>
      <c r="D28" s="13">
        <v>0.12</v>
      </c>
      <c r="E28" t="str">
        <f>_xlfn.XLOOKUP(C28,'uf sem GN'!A:A,'uf sem GN'!B:B,"Sim")</f>
        <v>Sim</v>
      </c>
    </row>
    <row r="29" spans="2:5" x14ac:dyDescent="0.3">
      <c r="B29" t="s">
        <v>67</v>
      </c>
      <c r="C29" t="s">
        <v>10</v>
      </c>
      <c r="D29" s="13">
        <v>0.15</v>
      </c>
      <c r="E29" t="str">
        <f>_xlfn.XLOOKUP(C29,'uf sem GN'!A:A,'uf sem GN'!B:B,"Sim")</f>
        <v>Sim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9090-5F8F-4C5A-B27B-00FDB2471F42}">
  <dimension ref="B2:C6"/>
  <sheetViews>
    <sheetView workbookViewId="0">
      <selection activeCell="C9" sqref="C9"/>
    </sheetView>
  </sheetViews>
  <sheetFormatPr defaultRowHeight="14.4" x14ac:dyDescent="0.3"/>
  <cols>
    <col min="2" max="2" width="9.6640625" bestFit="1" customWidth="1"/>
    <col min="3" max="3" width="43" bestFit="1" customWidth="1"/>
  </cols>
  <sheetData>
    <row r="2" spans="2:3" x14ac:dyDescent="0.3">
      <c r="B2" t="s">
        <v>22</v>
      </c>
      <c r="C2" t="s">
        <v>23</v>
      </c>
    </row>
    <row r="3" spans="2:3" x14ac:dyDescent="0.3">
      <c r="B3" t="s">
        <v>63</v>
      </c>
      <c r="C3" t="s">
        <v>123</v>
      </c>
    </row>
    <row r="5" spans="2:3" x14ac:dyDescent="0.3">
      <c r="C5" t="s">
        <v>134</v>
      </c>
    </row>
    <row r="6" spans="2:3" x14ac:dyDescent="0.3">
      <c r="C6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0C40-FC45-4BE2-92FB-F88AB64AE4D2}">
  <dimension ref="C2:E23"/>
  <sheetViews>
    <sheetView workbookViewId="0">
      <selection activeCell="F12" sqref="F12"/>
    </sheetView>
  </sheetViews>
  <sheetFormatPr defaultRowHeight="14.4" x14ac:dyDescent="0.3"/>
  <cols>
    <col min="3" max="3" width="57.44140625" bestFit="1" customWidth="1"/>
    <col min="4" max="4" width="10.6640625" bestFit="1" customWidth="1"/>
    <col min="5" max="5" width="9.109375" bestFit="1" customWidth="1"/>
  </cols>
  <sheetData>
    <row r="2" spans="3:5" x14ac:dyDescent="0.3">
      <c r="C2" t="s">
        <v>85</v>
      </c>
      <c r="D2" t="s">
        <v>89</v>
      </c>
    </row>
    <row r="3" spans="3:5" x14ac:dyDescent="0.3">
      <c r="C3" t="s">
        <v>86</v>
      </c>
      <c r="D3" t="s">
        <v>88</v>
      </c>
    </row>
    <row r="5" spans="3:5" x14ac:dyDescent="0.3">
      <c r="C5" t="s">
        <v>90</v>
      </c>
    </row>
    <row r="10" spans="3:5" x14ac:dyDescent="0.3">
      <c r="C10" t="s">
        <v>87</v>
      </c>
      <c r="D10" t="s">
        <v>98</v>
      </c>
      <c r="E10" t="s">
        <v>100</v>
      </c>
    </row>
    <row r="11" spans="3:5" x14ac:dyDescent="0.3">
      <c r="C11" t="s">
        <v>97</v>
      </c>
      <c r="D11">
        <v>7</v>
      </c>
      <c r="E11">
        <f>D11*60</f>
        <v>420</v>
      </c>
    </row>
    <row r="14" spans="3:5" x14ac:dyDescent="0.3">
      <c r="C14" t="s">
        <v>91</v>
      </c>
    </row>
    <row r="15" spans="3:5" x14ac:dyDescent="0.3">
      <c r="C15" t="s">
        <v>92</v>
      </c>
    </row>
    <row r="17" spans="3:3" x14ac:dyDescent="0.3">
      <c r="C17" t="s">
        <v>93</v>
      </c>
    </row>
    <row r="18" spans="3:3" x14ac:dyDescent="0.3">
      <c r="C18" t="s">
        <v>94</v>
      </c>
    </row>
    <row r="20" spans="3:3" x14ac:dyDescent="0.3">
      <c r="C20" t="s">
        <v>95</v>
      </c>
    </row>
    <row r="21" spans="3:3" x14ac:dyDescent="0.3">
      <c r="C21" t="s">
        <v>96</v>
      </c>
    </row>
    <row r="22" spans="3:3" x14ac:dyDescent="0.3">
      <c r="C22" t="s">
        <v>99</v>
      </c>
    </row>
    <row r="23" spans="3:3" x14ac:dyDescent="0.3">
      <c r="C23" t="s">
        <v>101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99A8-3E83-4D42-A3CD-6B61D4F6FF59}">
  <dimension ref="B2:H7"/>
  <sheetViews>
    <sheetView workbookViewId="0">
      <selection activeCell="H8" sqref="H8"/>
    </sheetView>
  </sheetViews>
  <sheetFormatPr defaultRowHeight="14.4" x14ac:dyDescent="0.3"/>
  <cols>
    <col min="2" max="2" width="11.44140625" bestFit="1" customWidth="1"/>
    <col min="3" max="3" width="5.77734375" bestFit="1" customWidth="1"/>
    <col min="4" max="4" width="6" bestFit="1" customWidth="1"/>
    <col min="5" max="5" width="13.5546875" bestFit="1" customWidth="1"/>
    <col min="6" max="6" width="8" bestFit="1" customWidth="1"/>
    <col min="7" max="7" width="14.6640625" bestFit="1" customWidth="1"/>
    <col min="8" max="8" width="22.5546875" bestFit="1" customWidth="1"/>
  </cols>
  <sheetData>
    <row r="2" spans="2:8" x14ac:dyDescent="0.3">
      <c r="B2" t="s">
        <v>102</v>
      </c>
      <c r="D2" s="16" t="s">
        <v>103</v>
      </c>
      <c r="E2" t="s">
        <v>104</v>
      </c>
      <c r="F2" t="s">
        <v>105</v>
      </c>
      <c r="G2" t="s">
        <v>106</v>
      </c>
      <c r="H2" t="s">
        <v>107</v>
      </c>
    </row>
    <row r="3" spans="2:8" x14ac:dyDescent="0.3">
      <c r="B3">
        <v>11642</v>
      </c>
      <c r="D3">
        <v>11642</v>
      </c>
      <c r="E3" s="17">
        <v>6.73</v>
      </c>
      <c r="F3">
        <f>D3*1.25</f>
        <v>14552.5</v>
      </c>
      <c r="G3" s="17">
        <v>3.01</v>
      </c>
      <c r="H3" s="17">
        <f>G3*1.25</f>
        <v>3.7624999999999997</v>
      </c>
    </row>
    <row r="4" spans="2:8" x14ac:dyDescent="0.3">
      <c r="C4" t="s">
        <v>108</v>
      </c>
      <c r="E4" s="17">
        <f>D3*E3</f>
        <v>78350.66</v>
      </c>
      <c r="G4" s="17">
        <f>F3*G3</f>
        <v>43803.024999999994</v>
      </c>
      <c r="H4" s="17">
        <f>D3*H3</f>
        <v>43803.024999999994</v>
      </c>
    </row>
    <row r="7" spans="2:8" x14ac:dyDescent="0.3">
      <c r="H7" s="15">
        <f>E3-H3</f>
        <v>2.9675000000000007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9781826-023D-4549-9CE8-4199B3E850CB}"/>
</file>

<file path=customXml/itemProps2.xml><?xml version="1.0" encoding="utf-8"?>
<ds:datastoreItem xmlns:ds="http://schemas.openxmlformats.org/officeDocument/2006/customXml" ds:itemID="{060256BC-FC9C-4A66-B7B6-3EEE9F4A93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114CF1-49C6-428B-9926-C14FDE8C3786}">
  <ds:schemaRefs>
    <ds:schemaRef ds:uri="http://schemas.microsoft.com/office/2006/metadata/properties"/>
    <ds:schemaRef ds:uri="http://schemas.microsoft.com/office/infopath/2007/PartnerControls"/>
    <ds:schemaRef ds:uri="34518ccc-a883-4093-b96c-7b7c92c8b5b3"/>
    <ds:schemaRef ds:uri="b9ea8cea-55ba-496a-be0e-e35cf1e9c5fe"/>
  </ds:schemaRefs>
</ds:datastoreItem>
</file>

<file path=docMetadata/LabelInfo.xml><?xml version="1.0" encoding="utf-8"?>
<clbl:labelList xmlns:clbl="http://schemas.microsoft.com/office/2020/mipLabelMetadata">
  <clbl:label id="{06b7e6b7-2ffd-4b5a-885e-840ace77652b}" enabled="0" method="" siteId="{06b7e6b7-2ffd-4b5a-885e-840ace77652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Tarifario</vt:lpstr>
      <vt:lpstr>Calculo impostos</vt:lpstr>
      <vt:lpstr>uf sem GN</vt:lpstr>
      <vt:lpstr>ICMS</vt:lpstr>
      <vt:lpstr>Observações</vt:lpstr>
      <vt:lpstr>conversa_com_o_tributario</vt:lpstr>
      <vt:lpstr>Cliente_teste_metrica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Vanderlei Quartarolo</dc:creator>
  <cp:lastModifiedBy>Vanderlei Quartarolo</cp:lastModifiedBy>
  <dcterms:created xsi:type="dcterms:W3CDTF">2026-01-09T14:10:18Z</dcterms:created>
  <dcterms:modified xsi:type="dcterms:W3CDTF">2026-07-29T20:18:31Z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0x010100A547E473F9DFD14880A6091FA8579A6D</vt:lpwstr>
  </property>
</Properties>
</file>